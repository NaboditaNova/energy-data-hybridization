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bodita Anam\01_My Documents\Task_1_09_March\pyic\"/>
    </mc:Choice>
  </mc:AlternateContent>
  <xr:revisionPtr revIDLastSave="0" documentId="13_ncr:1_{5FDBE1DF-CD11-4D9F-9204-44AEC5F25E59}" xr6:coauthVersionLast="47" xr6:coauthVersionMax="47" xr10:uidLastSave="{00000000-0000-0000-0000-000000000000}"/>
  <bookViews>
    <workbookView xWindow="28680" yWindow="-120" windowWidth="29040" windowHeight="15720" tabRatio="500" firstSheet="5" activeTab="14" xr2:uid="{00000000-000D-0000-FFFF-FFFF00000000}"/>
  </bookViews>
  <sheets>
    <sheet name="new" sheetId="1" r:id="rId1"/>
    <sheet name="rm" sheetId="2" r:id="rId2"/>
    <sheet name="rmh" sheetId="36" r:id="rId3"/>
    <sheet name="iso2" sheetId="13" r:id="rId4"/>
    <sheet name="ieap" sheetId="3" r:id="rId5"/>
    <sheet name="nrg" sheetId="28" r:id="rId6"/>
    <sheet name="iea" sheetId="35" r:id="rId7"/>
    <sheet name="nrgp" sheetId="29" r:id="rId8"/>
    <sheet name="psut_pro" sheetId="44" r:id="rId9"/>
    <sheet name="irp_mat" sheetId="4" state="hidden" r:id="rId10"/>
    <sheet name="irp_intermediate" sheetId="5" state="hidden" r:id="rId11"/>
    <sheet name="cpa" sheetId="19" r:id="rId12"/>
    <sheet name="iea_pro" sheetId="25" r:id="rId13"/>
    <sheet name="psut_ind_bridge" sheetId="46" r:id="rId14"/>
    <sheet name="Tabelle1" sheetId="30" r:id="rId15"/>
    <sheet name="rme_nrg" sheetId="31" r:id="rId16"/>
    <sheet name="mfa_bunk" sheetId="32" r:id="rId17"/>
    <sheet name="rme" sheetId="33" r:id="rId18"/>
  </sheets>
  <externalReferences>
    <externalReference r:id="rId19"/>
  </externalReferences>
  <definedNames>
    <definedName name="_xlnm._FilterDatabase" localSheetId="10" hidden="1">irp_intermediate!$A$1:$F$32</definedName>
    <definedName name="_xlnm._FilterDatabase" localSheetId="3" hidden="1">'iso2'!$A$2:$R$304</definedName>
    <definedName name="Index_Sheet_Kutoo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8" i="35" l="1"/>
  <c r="E107" i="35"/>
  <c r="E106" i="35"/>
  <c r="E105" i="35"/>
  <c r="E104" i="35"/>
  <c r="E103" i="35"/>
  <c r="E102" i="35"/>
  <c r="E101" i="35"/>
  <c r="E100" i="35"/>
  <c r="E99" i="35"/>
  <c r="E98" i="35"/>
  <c r="E97" i="35"/>
  <c r="E96" i="35"/>
  <c r="E95" i="35"/>
  <c r="E94" i="35"/>
  <c r="E93" i="35"/>
  <c r="E92" i="35"/>
  <c r="E91" i="35"/>
  <c r="E90" i="35"/>
  <c r="E89" i="35"/>
  <c r="E88" i="35"/>
  <c r="E87" i="35"/>
  <c r="E86" i="35"/>
  <c r="E85" i="35"/>
  <c r="E84" i="35"/>
  <c r="E83" i="35"/>
  <c r="E82" i="35"/>
  <c r="E81" i="35"/>
  <c r="E80" i="35"/>
  <c r="E79" i="35"/>
  <c r="E78" i="35"/>
  <c r="E77" i="35"/>
  <c r="E76" i="35"/>
  <c r="E75" i="35"/>
  <c r="E74" i="35"/>
  <c r="E73" i="35"/>
  <c r="E72" i="35"/>
  <c r="E71" i="35"/>
  <c r="E70" i="35"/>
  <c r="E69" i="35"/>
  <c r="E68" i="35"/>
  <c r="E67" i="35"/>
  <c r="E66" i="35"/>
  <c r="E65" i="35"/>
  <c r="E64" i="35"/>
  <c r="E63" i="35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C196" i="33"/>
  <c r="C195" i="33"/>
  <c r="C194" i="33"/>
  <c r="C193" i="33"/>
  <c r="C192" i="33"/>
  <c r="C191" i="33"/>
  <c r="C190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330" i="4"/>
  <c r="C329" i="4"/>
  <c r="C328" i="4"/>
  <c r="C327" i="4"/>
  <c r="C326" i="4"/>
  <c r="D325" i="4"/>
  <c r="C324" i="4"/>
  <c r="C323" i="4"/>
  <c r="C322" i="4"/>
  <c r="D321" i="4"/>
  <c r="D320" i="4"/>
  <c r="D319" i="4"/>
  <c r="C318" i="4"/>
  <c r="D317" i="4"/>
  <c r="C316" i="4"/>
  <c r="D315" i="4"/>
  <c r="C314" i="4"/>
  <c r="C313" i="4"/>
  <c r="C312" i="4"/>
  <c r="D311" i="4"/>
  <c r="C310" i="4"/>
  <c r="C309" i="4"/>
  <c r="D308" i="4"/>
  <c r="D307" i="4"/>
  <c r="D306" i="4"/>
  <c r="C305" i="4"/>
  <c r="D304" i="4"/>
  <c r="D303" i="4"/>
  <c r="D302" i="4"/>
  <c r="D301" i="4"/>
  <c r="D300" i="4"/>
  <c r="D299" i="4"/>
  <c r="D298" i="4"/>
  <c r="D297" i="4"/>
  <c r="D296" i="4"/>
  <c r="D295" i="4"/>
  <c r="D294" i="4"/>
  <c r="C293" i="4"/>
  <c r="D292" i="4"/>
  <c r="C291" i="4"/>
  <c r="D290" i="4"/>
  <c r="C289" i="4"/>
  <c r="D288" i="4"/>
  <c r="C287" i="4"/>
  <c r="D286" i="4"/>
  <c r="C285" i="4"/>
  <c r="C284" i="4"/>
  <c r="D283" i="4"/>
  <c r="D282" i="4"/>
  <c r="D281" i="4"/>
  <c r="C280" i="4"/>
  <c r="C279" i="4"/>
  <c r="C278" i="4"/>
  <c r="D277" i="4"/>
  <c r="C276" i="4"/>
  <c r="C275" i="4"/>
  <c r="D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D245" i="4"/>
  <c r="C244" i="4"/>
  <c r="C243" i="4"/>
  <c r="C242" i="4"/>
  <c r="C241" i="4"/>
  <c r="C240" i="4"/>
  <c r="D239" i="4"/>
  <c r="D238" i="4"/>
  <c r="C237" i="4"/>
  <c r="C236" i="4"/>
  <c r="C235" i="4"/>
  <c r="C234" i="4"/>
  <c r="C233" i="4"/>
  <c r="C232" i="4"/>
  <c r="D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D217" i="4"/>
  <c r="C216" i="4"/>
  <c r="C215" i="4"/>
  <c r="C214" i="4"/>
  <c r="D213" i="4"/>
  <c r="D212" i="4"/>
  <c r="C211" i="4"/>
  <c r="C210" i="4"/>
  <c r="C209" i="4"/>
  <c r="C208" i="4"/>
  <c r="C207" i="4"/>
  <c r="C206" i="4"/>
  <c r="C205" i="4"/>
  <c r="C204" i="4"/>
  <c r="D203" i="4"/>
  <c r="C202" i="4"/>
  <c r="C201" i="4"/>
  <c r="D200" i="4"/>
  <c r="C199" i="4"/>
  <c r="C198" i="4"/>
  <c r="D197" i="4"/>
  <c r="C196" i="4"/>
  <c r="C195" i="4"/>
  <c r="D194" i="4"/>
  <c r="C193" i="4"/>
  <c r="C192" i="4"/>
  <c r="C191" i="4"/>
  <c r="C190" i="4"/>
  <c r="C189" i="4"/>
  <c r="C188" i="4"/>
  <c r="C187" i="4"/>
  <c r="C186" i="4"/>
  <c r="C185" i="4"/>
  <c r="C184" i="4"/>
  <c r="C183" i="4"/>
  <c r="D182" i="4"/>
  <c r="C181" i="4"/>
  <c r="C180" i="4"/>
  <c r="C179" i="4"/>
  <c r="D178" i="4"/>
  <c r="D177" i="4"/>
  <c r="C176" i="4"/>
  <c r="C175" i="4"/>
  <c r="C174" i="4"/>
  <c r="C173" i="4"/>
  <c r="C172" i="4"/>
  <c r="C171" i="4"/>
  <c r="D170" i="4"/>
  <c r="C169" i="4"/>
  <c r="C168" i="4"/>
  <c r="D167" i="4"/>
  <c r="C166" i="4"/>
  <c r="D165" i="4"/>
  <c r="D164" i="4"/>
  <c r="C163" i="4"/>
  <c r="C162" i="4"/>
  <c r="D161" i="4"/>
  <c r="D160" i="4"/>
  <c r="D159" i="4"/>
  <c r="D158" i="4"/>
  <c r="D157" i="4"/>
  <c r="C156" i="4"/>
  <c r="D155" i="4"/>
  <c r="D154" i="4"/>
  <c r="C153" i="4"/>
  <c r="D152" i="4"/>
  <c r="D151" i="4"/>
  <c r="D150" i="4"/>
  <c r="D149" i="4"/>
  <c r="D148" i="4"/>
  <c r="D147" i="4"/>
  <c r="D146" i="4"/>
  <c r="D145" i="4"/>
  <c r="C144" i="4"/>
  <c r="D143" i="4"/>
  <c r="D142" i="4"/>
  <c r="D141" i="4"/>
  <c r="D140" i="4"/>
  <c r="D139" i="4"/>
  <c r="D138" i="4"/>
  <c r="D137" i="4"/>
  <c r="D136" i="4"/>
  <c r="C135" i="4"/>
  <c r="D134" i="4"/>
  <c r="D133" i="4"/>
  <c r="C132" i="4"/>
  <c r="D131" i="4"/>
  <c r="D130" i="4"/>
  <c r="D129" i="4"/>
  <c r="D128" i="4"/>
  <c r="D127" i="4"/>
  <c r="D126" i="4"/>
  <c r="D125" i="4"/>
  <c r="D124" i="4"/>
  <c r="D123" i="4"/>
  <c r="C122" i="4"/>
  <c r="D121" i="4"/>
  <c r="D120" i="4"/>
  <c r="D119" i="4"/>
  <c r="D118" i="4"/>
  <c r="D117" i="4"/>
  <c r="D116" i="4"/>
  <c r="D115" i="4"/>
  <c r="D114" i="4"/>
  <c r="D113" i="4"/>
  <c r="C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C99" i="4"/>
  <c r="D98" i="4"/>
  <c r="C97" i="4"/>
  <c r="D96" i="4"/>
  <c r="D95" i="4"/>
  <c r="C94" i="4"/>
  <c r="D93" i="4"/>
  <c r="D92" i="4"/>
  <c r="D91" i="4"/>
  <c r="D90" i="4"/>
  <c r="D89" i="4"/>
  <c r="D88" i="4"/>
  <c r="D87" i="4"/>
  <c r="C86" i="4"/>
  <c r="D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D55" i="4"/>
  <c r="D54" i="4"/>
  <c r="D53" i="4"/>
  <c r="D52" i="4"/>
  <c r="C51" i="4"/>
  <c r="D50" i="4"/>
  <c r="C49" i="4"/>
  <c r="D48" i="4"/>
  <c r="D47" i="4"/>
  <c r="C46" i="4"/>
  <c r="D45" i="4"/>
  <c r="C44" i="4"/>
  <c r="D43" i="4"/>
  <c r="C42" i="4"/>
  <c r="D41" i="4"/>
  <c r="D40" i="4"/>
  <c r="C39" i="4"/>
  <c r="C38" i="4"/>
  <c r="D37" i="4"/>
  <c r="D36" i="4"/>
  <c r="D35" i="4"/>
  <c r="D34" i="4"/>
  <c r="D33" i="4"/>
  <c r="D32" i="4"/>
  <c r="D31" i="4"/>
  <c r="D30" i="4"/>
  <c r="D29" i="4"/>
  <c r="C28" i="4"/>
  <c r="D27" i="4"/>
  <c r="D26" i="4"/>
  <c r="C25" i="4"/>
  <c r="D24" i="4"/>
  <c r="C23" i="4"/>
  <c r="C22" i="4"/>
  <c r="C21" i="4"/>
  <c r="D20" i="4"/>
  <c r="D19" i="4"/>
  <c r="C18" i="4"/>
  <c r="D17" i="4"/>
  <c r="D16" i="4"/>
  <c r="C15" i="4"/>
  <c r="D14" i="4"/>
  <c r="C13" i="4"/>
  <c r="D12" i="4"/>
  <c r="C11" i="4"/>
  <c r="C10" i="4"/>
  <c r="D9" i="4"/>
  <c r="C8" i="4"/>
  <c r="C7" i="4"/>
  <c r="C6" i="4"/>
  <c r="C5" i="4"/>
  <c r="C4" i="4"/>
  <c r="C3" i="4"/>
  <c r="C2" i="4"/>
  <c r="D330" i="4" l="1"/>
  <c r="D329" i="4"/>
  <c r="D328" i="4"/>
  <c r="D327" i="4"/>
  <c r="D326" i="4"/>
  <c r="D324" i="4"/>
  <c r="D323" i="4"/>
  <c r="D322" i="4"/>
  <c r="D318" i="4"/>
  <c r="D316" i="4"/>
  <c r="D314" i="4"/>
  <c r="D313" i="4"/>
  <c r="D312" i="4"/>
  <c r="D310" i="4"/>
  <c r="D309" i="4"/>
  <c r="D305" i="4"/>
  <c r="D293" i="4"/>
  <c r="D291" i="4"/>
  <c r="D289" i="4"/>
  <c r="D287" i="4"/>
  <c r="D285" i="4"/>
  <c r="D284" i="4"/>
  <c r="D280" i="4"/>
  <c r="D279" i="4"/>
  <c r="D278" i="4"/>
  <c r="D276" i="4"/>
  <c r="D275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4" i="4"/>
  <c r="D243" i="4"/>
  <c r="D242" i="4"/>
  <c r="D241" i="4"/>
  <c r="D240" i="4"/>
  <c r="D237" i="4"/>
  <c r="D236" i="4"/>
  <c r="D235" i="4"/>
  <c r="D234" i="4"/>
  <c r="D233" i="4"/>
  <c r="D232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6" i="4"/>
  <c r="D215" i="4"/>
  <c r="D214" i="4"/>
  <c r="D211" i="4"/>
  <c r="D210" i="4"/>
  <c r="D209" i="4"/>
  <c r="D208" i="4"/>
  <c r="D207" i="4"/>
  <c r="D206" i="4"/>
  <c r="D205" i="4"/>
  <c r="D204" i="4"/>
  <c r="D202" i="4"/>
  <c r="D201" i="4"/>
  <c r="D199" i="4"/>
  <c r="D198" i="4"/>
  <c r="D196" i="4"/>
  <c r="D195" i="4"/>
  <c r="D193" i="4"/>
  <c r="D192" i="4"/>
  <c r="D191" i="4"/>
  <c r="D190" i="4"/>
  <c r="D189" i="4"/>
  <c r="D188" i="4"/>
  <c r="D187" i="4"/>
  <c r="D186" i="4"/>
  <c r="D185" i="4"/>
  <c r="D184" i="4"/>
  <c r="D183" i="4"/>
  <c r="D181" i="4"/>
  <c r="D180" i="4"/>
  <c r="D179" i="4"/>
  <c r="D176" i="4"/>
  <c r="D175" i="4"/>
  <c r="D174" i="4"/>
  <c r="D173" i="4"/>
  <c r="D172" i="4"/>
  <c r="D171" i="4"/>
  <c r="D169" i="4"/>
  <c r="D168" i="4"/>
  <c r="D166" i="4"/>
  <c r="D163" i="4"/>
  <c r="D162" i="4"/>
  <c r="D156" i="4"/>
  <c r="D153" i="4"/>
  <c r="D144" i="4"/>
  <c r="D135" i="4"/>
  <c r="D132" i="4"/>
  <c r="D122" i="4"/>
  <c r="D112" i="4"/>
  <c r="D99" i="4"/>
  <c r="D97" i="4"/>
  <c r="D94" i="4"/>
  <c r="D86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1" i="4"/>
  <c r="D49" i="4"/>
  <c r="D46" i="4"/>
  <c r="D44" i="4"/>
  <c r="D42" i="4"/>
  <c r="D39" i="4"/>
  <c r="D38" i="4"/>
  <c r="D28" i="4"/>
  <c r="D25" i="4"/>
  <c r="D23" i="4"/>
  <c r="D22" i="4"/>
  <c r="D21" i="4"/>
  <c r="D18" i="4"/>
  <c r="D15" i="4"/>
  <c r="D13" i="4"/>
  <c r="D11" i="4"/>
  <c r="D10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<sst xmlns="http://schemas.openxmlformats.org/spreadsheetml/2006/main" count="16210" uniqueCount="4554">
  <si>
    <t>Keep as many sheets are linked to it</t>
  </si>
  <si>
    <t>rme</t>
  </si>
  <si>
    <t>rm</t>
  </si>
  <si>
    <t>rme_label</t>
  </si>
  <si>
    <t>rm_label</t>
  </si>
  <si>
    <t>RME001</t>
  </si>
  <si>
    <t>RM001</t>
  </si>
  <si>
    <t>Cereals</t>
  </si>
  <si>
    <t>RME002</t>
  </si>
  <si>
    <t>RM002</t>
  </si>
  <si>
    <t>Green vegetables</t>
  </si>
  <si>
    <t>RME003</t>
  </si>
  <si>
    <t>RM003</t>
  </si>
  <si>
    <t>Dried vegetables</t>
  </si>
  <si>
    <t>Dried vegetables/pulses</t>
  </si>
  <si>
    <t>RME004</t>
  </si>
  <si>
    <t>RM004</t>
  </si>
  <si>
    <t>Soya, oil seeds</t>
  </si>
  <si>
    <t>RME005</t>
  </si>
  <si>
    <t>RM005</t>
  </si>
  <si>
    <t>Roots, tubers</t>
  </si>
  <si>
    <t>RME006</t>
  </si>
  <si>
    <t>RM006</t>
  </si>
  <si>
    <t>Sugar beet, cane</t>
  </si>
  <si>
    <t>RME007</t>
  </si>
  <si>
    <t>RM007</t>
  </si>
  <si>
    <t>Tobacco</t>
  </si>
  <si>
    <t>RME008</t>
  </si>
  <si>
    <t>RM008</t>
  </si>
  <si>
    <t>Fibre crops</t>
  </si>
  <si>
    <t>RME009</t>
  </si>
  <si>
    <t>RM009</t>
  </si>
  <si>
    <t>Forage crops, grazing</t>
  </si>
  <si>
    <t>RME010</t>
  </si>
  <si>
    <t>RM010</t>
  </si>
  <si>
    <t>Fruits</t>
  </si>
  <si>
    <t>RME011</t>
  </si>
  <si>
    <t>RM011</t>
  </si>
  <si>
    <t>Other crops</t>
  </si>
  <si>
    <t>RME012</t>
  </si>
  <si>
    <t>RM012</t>
  </si>
  <si>
    <t>Cattle</t>
  </si>
  <si>
    <t>RME013</t>
  </si>
  <si>
    <t>RM013</t>
  </si>
  <si>
    <t>Milk</t>
  </si>
  <si>
    <t>RME014</t>
  </si>
  <si>
    <t>RM014</t>
  </si>
  <si>
    <t>Swine</t>
  </si>
  <si>
    <t>RME015</t>
  </si>
  <si>
    <t>RM015</t>
  </si>
  <si>
    <t>Other animals</t>
  </si>
  <si>
    <t>RME016</t>
  </si>
  <si>
    <t>RM016</t>
  </si>
  <si>
    <t>Poultry</t>
  </si>
  <si>
    <t>RME017</t>
  </si>
  <si>
    <t>RM017</t>
  </si>
  <si>
    <t>Eggs</t>
  </si>
  <si>
    <t>RME018</t>
  </si>
  <si>
    <t>RM018</t>
  </si>
  <si>
    <t>Farm manure</t>
  </si>
  <si>
    <t>Agricultural services</t>
  </si>
  <si>
    <t>RME019</t>
  </si>
  <si>
    <t>RME020</t>
  </si>
  <si>
    <t>RM019</t>
  </si>
  <si>
    <t>Forestry</t>
  </si>
  <si>
    <t>RME021</t>
  </si>
  <si>
    <t>RM020</t>
  </si>
  <si>
    <t>Fish</t>
  </si>
  <si>
    <t>RME022</t>
  </si>
  <si>
    <t>RM021</t>
  </si>
  <si>
    <t>Hard coal</t>
  </si>
  <si>
    <t>RME023</t>
  </si>
  <si>
    <t>RM022</t>
  </si>
  <si>
    <t>Lignite</t>
  </si>
  <si>
    <t>RME024</t>
  </si>
  <si>
    <t>RM023</t>
  </si>
  <si>
    <t>Petroleum oils</t>
  </si>
  <si>
    <t>RME025</t>
  </si>
  <si>
    <t>RM024</t>
  </si>
  <si>
    <t>Oil shale, tar sands</t>
  </si>
  <si>
    <t>RME026</t>
  </si>
  <si>
    <t>RM025</t>
  </si>
  <si>
    <t>Natural gas</t>
  </si>
  <si>
    <t>RME027</t>
  </si>
  <si>
    <t>RM026</t>
  </si>
  <si>
    <t>Iron ores</t>
  </si>
  <si>
    <t>RME028</t>
  </si>
  <si>
    <t>RM027</t>
  </si>
  <si>
    <t>Uranium ores</t>
  </si>
  <si>
    <t>RME029</t>
  </si>
  <si>
    <t>RM028</t>
  </si>
  <si>
    <t>Copper ores</t>
  </si>
  <si>
    <t>RME030</t>
  </si>
  <si>
    <t>RM029</t>
  </si>
  <si>
    <t>Nickel ores</t>
  </si>
  <si>
    <t>RME031</t>
  </si>
  <si>
    <t>RM030</t>
  </si>
  <si>
    <t>Aluminium ores</t>
  </si>
  <si>
    <t>RME032</t>
  </si>
  <si>
    <t>RM031</t>
  </si>
  <si>
    <t>Gold ores</t>
  </si>
  <si>
    <t>RME033</t>
  </si>
  <si>
    <t>RM032</t>
  </si>
  <si>
    <t>Silver ores</t>
  </si>
  <si>
    <t>RME034</t>
  </si>
  <si>
    <t>RM033</t>
  </si>
  <si>
    <t>Platinum ores</t>
  </si>
  <si>
    <t>PGM ores</t>
  </si>
  <si>
    <t>RME035</t>
  </si>
  <si>
    <t>RM034</t>
  </si>
  <si>
    <t>Lead ores</t>
  </si>
  <si>
    <t>RME036</t>
  </si>
  <si>
    <t>RM035</t>
  </si>
  <si>
    <t>Zinc ores</t>
  </si>
  <si>
    <t>RME037</t>
  </si>
  <si>
    <t>RM036</t>
  </si>
  <si>
    <t>Tin ores</t>
  </si>
  <si>
    <t>RME038</t>
  </si>
  <si>
    <t>RM037</t>
  </si>
  <si>
    <t>Tungsten ores</t>
  </si>
  <si>
    <t>Other ores</t>
  </si>
  <si>
    <t>RME039</t>
  </si>
  <si>
    <t>Tantalum ores</t>
  </si>
  <si>
    <t>RME040</t>
  </si>
  <si>
    <t>Magnesium ores</t>
  </si>
  <si>
    <t>RME041</t>
  </si>
  <si>
    <t>Titanium ores</t>
  </si>
  <si>
    <t>RME042</t>
  </si>
  <si>
    <t>Manganese ores</t>
  </si>
  <si>
    <t>RME043</t>
  </si>
  <si>
    <t>Chromium ores</t>
  </si>
  <si>
    <t>RME044</t>
  </si>
  <si>
    <t>RME045</t>
  </si>
  <si>
    <t>RM038</t>
  </si>
  <si>
    <t>Building stone</t>
  </si>
  <si>
    <t>RME046</t>
  </si>
  <si>
    <t>RM039</t>
  </si>
  <si>
    <t>Limestone, gypsum</t>
  </si>
  <si>
    <t>RME047</t>
  </si>
  <si>
    <t>RM040</t>
  </si>
  <si>
    <t>Chalk, dolomite</t>
  </si>
  <si>
    <t>RME048</t>
  </si>
  <si>
    <t>RM041</t>
  </si>
  <si>
    <t>Slate</t>
  </si>
  <si>
    <t>RME049</t>
  </si>
  <si>
    <t>RM042-043</t>
  </si>
  <si>
    <t>Gravel and sand</t>
  </si>
  <si>
    <t>Gravel and sand, Silica</t>
  </si>
  <si>
    <t>RME050</t>
  </si>
  <si>
    <t>Slag, similar waste</t>
  </si>
  <si>
    <t>RME051</t>
  </si>
  <si>
    <t>RM044</t>
  </si>
  <si>
    <t>Clays, kaolin</t>
  </si>
  <si>
    <t>RME052</t>
  </si>
  <si>
    <t>RM045</t>
  </si>
  <si>
    <t>Chemical minerals</t>
  </si>
  <si>
    <t>Chemical and fertiliser minerals</t>
  </si>
  <si>
    <t>RME053</t>
  </si>
  <si>
    <t>RM047</t>
  </si>
  <si>
    <t>Peat</t>
  </si>
  <si>
    <t>Mining nec</t>
  </si>
  <si>
    <t>RME054</t>
  </si>
  <si>
    <t>RM046</t>
  </si>
  <si>
    <t>Salt</t>
  </si>
  <si>
    <t>RME055</t>
  </si>
  <si>
    <t>RME056</t>
  </si>
  <si>
    <t>RM048</t>
  </si>
  <si>
    <t>Mining support</t>
  </si>
  <si>
    <t>RME057</t>
  </si>
  <si>
    <t>RM049</t>
  </si>
  <si>
    <t>Preserved meat</t>
  </si>
  <si>
    <t>RME058</t>
  </si>
  <si>
    <t>RM050</t>
  </si>
  <si>
    <t>Processed fish</t>
  </si>
  <si>
    <t>RME059</t>
  </si>
  <si>
    <t>RM051</t>
  </si>
  <si>
    <t>Processed fruit, vegetables</t>
  </si>
  <si>
    <t>RME060</t>
  </si>
  <si>
    <t>RM052</t>
  </si>
  <si>
    <t>Oils</t>
  </si>
  <si>
    <t>RME061</t>
  </si>
  <si>
    <t>RM053</t>
  </si>
  <si>
    <t>Dairy</t>
  </si>
  <si>
    <t>RME062</t>
  </si>
  <si>
    <t>RM054</t>
  </si>
  <si>
    <t>Grain, starches</t>
  </si>
  <si>
    <t>RME063</t>
  </si>
  <si>
    <t>RM055</t>
  </si>
  <si>
    <t>Other food</t>
  </si>
  <si>
    <t>RME064</t>
  </si>
  <si>
    <t>RM056</t>
  </si>
  <si>
    <t>Farm animals food</t>
  </si>
  <si>
    <t>Prepared animal feed</t>
  </si>
  <si>
    <t>RME065</t>
  </si>
  <si>
    <t>Pet food</t>
  </si>
  <si>
    <t>RME066</t>
  </si>
  <si>
    <t>RM057</t>
  </si>
  <si>
    <t>Beverages</t>
  </si>
  <si>
    <t>RME067</t>
  </si>
  <si>
    <t>RM058</t>
  </si>
  <si>
    <t>Tobacco products</t>
  </si>
  <si>
    <t>RME068</t>
  </si>
  <si>
    <t>RM059</t>
  </si>
  <si>
    <t>Textiles</t>
  </si>
  <si>
    <t>RME069</t>
  </si>
  <si>
    <t>RM060</t>
  </si>
  <si>
    <t>Wearing apparel</t>
  </si>
  <si>
    <t>RME070</t>
  </si>
  <si>
    <t>RM061</t>
  </si>
  <si>
    <t>Leather</t>
  </si>
  <si>
    <t>RME071</t>
  </si>
  <si>
    <t>RM062</t>
  </si>
  <si>
    <t>Wood</t>
  </si>
  <si>
    <t>RME072</t>
  </si>
  <si>
    <t>RM063</t>
  </si>
  <si>
    <t>Paper</t>
  </si>
  <si>
    <t>Pulp, paper and paperboard</t>
  </si>
  <si>
    <t>RME073</t>
  </si>
  <si>
    <t>RM064</t>
  </si>
  <si>
    <t>Articles of paper</t>
  </si>
  <si>
    <t>RME074</t>
  </si>
  <si>
    <t>RM065</t>
  </si>
  <si>
    <t>Printing and recording</t>
  </si>
  <si>
    <t>RME075</t>
  </si>
  <si>
    <t>RM066</t>
  </si>
  <si>
    <t>Coke oven products</t>
  </si>
  <si>
    <t>RME076</t>
  </si>
  <si>
    <t>RM067</t>
  </si>
  <si>
    <t>Refined petroleum</t>
  </si>
  <si>
    <t>RME077</t>
  </si>
  <si>
    <t>RM068</t>
  </si>
  <si>
    <t>Basic chemicals</t>
  </si>
  <si>
    <t>RME078</t>
  </si>
  <si>
    <t>RM069</t>
  </si>
  <si>
    <t>Fertilisers</t>
  </si>
  <si>
    <t>RME079</t>
  </si>
  <si>
    <t>RM070</t>
  </si>
  <si>
    <t>Primary plastics</t>
  </si>
  <si>
    <t>RME080</t>
  </si>
  <si>
    <t>RM071</t>
  </si>
  <si>
    <t>Pesticides</t>
  </si>
  <si>
    <t>RME081</t>
  </si>
  <si>
    <t>RM072</t>
  </si>
  <si>
    <t>Paints</t>
  </si>
  <si>
    <t>RME082</t>
  </si>
  <si>
    <t>RM073</t>
  </si>
  <si>
    <t>Detergents</t>
  </si>
  <si>
    <t>RME083</t>
  </si>
  <si>
    <t>RM074</t>
  </si>
  <si>
    <t>Other chemicals</t>
  </si>
  <si>
    <t>RME084</t>
  </si>
  <si>
    <t>RM075</t>
  </si>
  <si>
    <t>Man-made fibres</t>
  </si>
  <si>
    <t>RME085</t>
  </si>
  <si>
    <t>RM076</t>
  </si>
  <si>
    <t>Pharmaceuticals</t>
  </si>
  <si>
    <t>RME086</t>
  </si>
  <si>
    <t>RM077</t>
  </si>
  <si>
    <t>Rubber</t>
  </si>
  <si>
    <t>RME087</t>
  </si>
  <si>
    <t>RM078</t>
  </si>
  <si>
    <t>Plastic products</t>
  </si>
  <si>
    <t>RME088</t>
  </si>
  <si>
    <t>RM079</t>
  </si>
  <si>
    <t>Glass</t>
  </si>
  <si>
    <t>RME089</t>
  </si>
  <si>
    <t>RM080</t>
  </si>
  <si>
    <t>Refractory products</t>
  </si>
  <si>
    <t>RME090</t>
  </si>
  <si>
    <t>RM081</t>
  </si>
  <si>
    <t>Clay products</t>
  </si>
  <si>
    <t>RME091</t>
  </si>
  <si>
    <t>RM082</t>
  </si>
  <si>
    <t>Ceramic products nec</t>
  </si>
  <si>
    <t>RME092</t>
  </si>
  <si>
    <t>RM083</t>
  </si>
  <si>
    <t>Cement, lime</t>
  </si>
  <si>
    <t>Cement, lime, plaster</t>
  </si>
  <si>
    <t>RME093</t>
  </si>
  <si>
    <t>RM084</t>
  </si>
  <si>
    <t xml:space="preserve">Articles of cement </t>
  </si>
  <si>
    <t>RME094</t>
  </si>
  <si>
    <t>RM085</t>
  </si>
  <si>
    <t>Shaped stone</t>
  </si>
  <si>
    <t>RME095</t>
  </si>
  <si>
    <t>RM086</t>
  </si>
  <si>
    <t>Mineral products nec</t>
  </si>
  <si>
    <t>RME096</t>
  </si>
  <si>
    <t>RM087</t>
  </si>
  <si>
    <t>Iron and steel</t>
  </si>
  <si>
    <t>RME097</t>
  </si>
  <si>
    <t>RM088</t>
  </si>
  <si>
    <t>Silver</t>
  </si>
  <si>
    <t>RME098</t>
  </si>
  <si>
    <t>RM089</t>
  </si>
  <si>
    <t>Gold</t>
  </si>
  <si>
    <t>RME099</t>
  </si>
  <si>
    <t>RM090</t>
  </si>
  <si>
    <t>Platinum</t>
  </si>
  <si>
    <t>RME100</t>
  </si>
  <si>
    <t>RM091</t>
  </si>
  <si>
    <t>Aluminium</t>
  </si>
  <si>
    <t>RME101</t>
  </si>
  <si>
    <t>RM092</t>
  </si>
  <si>
    <t>Lead</t>
  </si>
  <si>
    <t>RME102</t>
  </si>
  <si>
    <t>RM093</t>
  </si>
  <si>
    <t>Zinc</t>
  </si>
  <si>
    <t>RME103</t>
  </si>
  <si>
    <t>RM094</t>
  </si>
  <si>
    <t>Tin</t>
  </si>
  <si>
    <t>RME104</t>
  </si>
  <si>
    <t>RM095</t>
  </si>
  <si>
    <t>Copper</t>
  </si>
  <si>
    <t>RME105</t>
  </si>
  <si>
    <t>RM096</t>
  </si>
  <si>
    <t>Nickel</t>
  </si>
  <si>
    <t>RME106</t>
  </si>
  <si>
    <t>RM097</t>
  </si>
  <si>
    <t>Tungsten</t>
  </si>
  <si>
    <t>Other metals</t>
  </si>
  <si>
    <t>RME107</t>
  </si>
  <si>
    <t>Tantalum</t>
  </si>
  <si>
    <t>RME108</t>
  </si>
  <si>
    <t>Magnesium</t>
  </si>
  <si>
    <t>RME109</t>
  </si>
  <si>
    <t>Titanium </t>
  </si>
  <si>
    <t>RME110</t>
  </si>
  <si>
    <t>Manganese</t>
  </si>
  <si>
    <t>RME111</t>
  </si>
  <si>
    <t>Chromium</t>
  </si>
  <si>
    <t>RME112</t>
  </si>
  <si>
    <t>RME113</t>
  </si>
  <si>
    <t>RM098</t>
  </si>
  <si>
    <t>Nuclear fuel</t>
  </si>
  <si>
    <t>RME114</t>
  </si>
  <si>
    <t>RM099</t>
  </si>
  <si>
    <t>Iron casting</t>
  </si>
  <si>
    <t>Iron and steel casting</t>
  </si>
  <si>
    <t>RME115</t>
  </si>
  <si>
    <t>Steel casting</t>
  </si>
  <si>
    <t>RME116</t>
  </si>
  <si>
    <t>RM100</t>
  </si>
  <si>
    <t>Light metals casting</t>
  </si>
  <si>
    <t>Non-ferrous casting</t>
  </si>
  <si>
    <t>RME117</t>
  </si>
  <si>
    <t>RME118</t>
  </si>
  <si>
    <t>RM101</t>
  </si>
  <si>
    <t>Structural metal</t>
  </si>
  <si>
    <t>RME119</t>
  </si>
  <si>
    <t>RM102</t>
  </si>
  <si>
    <t>Metal containers</t>
  </si>
  <si>
    <t>RME120</t>
  </si>
  <si>
    <t>RM103</t>
  </si>
  <si>
    <t>Steam generators</t>
  </si>
  <si>
    <t>RME121</t>
  </si>
  <si>
    <t>RM104</t>
  </si>
  <si>
    <t>Metal forming</t>
  </si>
  <si>
    <t>RME122</t>
  </si>
  <si>
    <t>RM105</t>
  </si>
  <si>
    <t>Metal coating</t>
  </si>
  <si>
    <t>RME123</t>
  </si>
  <si>
    <t>RM106</t>
  </si>
  <si>
    <t>Tools</t>
  </si>
  <si>
    <t>Cutlery, tools, general hardware</t>
  </si>
  <si>
    <t>RME124</t>
  </si>
  <si>
    <t>RM107</t>
  </si>
  <si>
    <t>Metal products nec</t>
  </si>
  <si>
    <t>RME125</t>
  </si>
  <si>
    <t>RM108</t>
  </si>
  <si>
    <t>Electronics</t>
  </si>
  <si>
    <t>RME126</t>
  </si>
  <si>
    <t>RM109</t>
  </si>
  <si>
    <t>Electrical equipment</t>
  </si>
  <si>
    <t>RME127</t>
  </si>
  <si>
    <t>RM110</t>
  </si>
  <si>
    <t>Machinery</t>
  </si>
  <si>
    <t>RME128</t>
  </si>
  <si>
    <t>RM111</t>
  </si>
  <si>
    <t>Motor vehicles</t>
  </si>
  <si>
    <t>RME129</t>
  </si>
  <si>
    <t>RM112</t>
  </si>
  <si>
    <t>Ships, boats</t>
  </si>
  <si>
    <t>RME130</t>
  </si>
  <si>
    <t>RM113</t>
  </si>
  <si>
    <t>Railway</t>
  </si>
  <si>
    <t>RME131</t>
  </si>
  <si>
    <t>RM114</t>
  </si>
  <si>
    <t>Air, spacecraft</t>
  </si>
  <si>
    <t>RME132</t>
  </si>
  <si>
    <t>RM115</t>
  </si>
  <si>
    <t>Transport nec</t>
  </si>
  <si>
    <t>RME133</t>
  </si>
  <si>
    <t>RM116</t>
  </si>
  <si>
    <t>Furniture</t>
  </si>
  <si>
    <t>RME134</t>
  </si>
  <si>
    <t>RM117</t>
  </si>
  <si>
    <t>Jewellery</t>
  </si>
  <si>
    <t>RME135</t>
  </si>
  <si>
    <t>RM118</t>
  </si>
  <si>
    <t>Musical instruments</t>
  </si>
  <si>
    <t>RME136</t>
  </si>
  <si>
    <t>RM119</t>
  </si>
  <si>
    <t>Sports goods</t>
  </si>
  <si>
    <t>RME137</t>
  </si>
  <si>
    <t>RM120</t>
  </si>
  <si>
    <t>Games, toys</t>
  </si>
  <si>
    <t>RME138</t>
  </si>
  <si>
    <t>RM121</t>
  </si>
  <si>
    <t>Medical instruments</t>
  </si>
  <si>
    <t>RME139</t>
  </si>
  <si>
    <t>RM122</t>
  </si>
  <si>
    <t>Goods nec</t>
  </si>
  <si>
    <t>RME140</t>
  </si>
  <si>
    <t>RM123</t>
  </si>
  <si>
    <t>Repair machinery</t>
  </si>
  <si>
    <t>RME141</t>
  </si>
  <si>
    <t>RM124</t>
  </si>
  <si>
    <t>Electricity supply</t>
  </si>
  <si>
    <t>RME142</t>
  </si>
  <si>
    <t>RM125</t>
  </si>
  <si>
    <t>Gas supply</t>
  </si>
  <si>
    <t>RME143</t>
  </si>
  <si>
    <t>RM126</t>
  </si>
  <si>
    <t>Steam, air conditioning</t>
  </si>
  <si>
    <t>RME144</t>
  </si>
  <si>
    <t>RM127</t>
  </si>
  <si>
    <t>Water supply</t>
  </si>
  <si>
    <t>RME145</t>
  </si>
  <si>
    <t>RM128</t>
  </si>
  <si>
    <t>Sewerage, waste</t>
  </si>
  <si>
    <t>RME146</t>
  </si>
  <si>
    <t>RM129</t>
  </si>
  <si>
    <t>Construction</t>
  </si>
  <si>
    <t>RME147</t>
  </si>
  <si>
    <t>RM130</t>
  </si>
  <si>
    <t>Wholesale, retail trade</t>
  </si>
  <si>
    <t>RME148</t>
  </si>
  <si>
    <t>RM131</t>
  </si>
  <si>
    <t>Wholesale services</t>
  </si>
  <si>
    <t>RME149</t>
  </si>
  <si>
    <t>RM132</t>
  </si>
  <si>
    <t>Retail services</t>
  </si>
  <si>
    <t>RME150</t>
  </si>
  <si>
    <t>RM133</t>
  </si>
  <si>
    <t>Land transport</t>
  </si>
  <si>
    <t>RME151</t>
  </si>
  <si>
    <t>RM134</t>
  </si>
  <si>
    <t>Water transport</t>
  </si>
  <si>
    <t>RME152</t>
  </si>
  <si>
    <t>RM135</t>
  </si>
  <si>
    <t>Air transport</t>
  </si>
  <si>
    <t>RME153</t>
  </si>
  <si>
    <t>RM136</t>
  </si>
  <si>
    <t>Warehousing</t>
  </si>
  <si>
    <t>RME154</t>
  </si>
  <si>
    <t>RM137</t>
  </si>
  <si>
    <t>Postal services</t>
  </si>
  <si>
    <t>RME155</t>
  </si>
  <si>
    <t>RM138</t>
  </si>
  <si>
    <t>Accomodation, food</t>
  </si>
  <si>
    <t>RME156</t>
  </si>
  <si>
    <t>RM139</t>
  </si>
  <si>
    <t>Publishing</t>
  </si>
  <si>
    <t>RME157</t>
  </si>
  <si>
    <t>RM140</t>
  </si>
  <si>
    <t>Motion picture, sound</t>
  </si>
  <si>
    <t>RME158</t>
  </si>
  <si>
    <t>RM141</t>
  </si>
  <si>
    <t>Telecommunication</t>
  </si>
  <si>
    <t>RME159</t>
  </si>
  <si>
    <t>RM142</t>
  </si>
  <si>
    <t>Computer services</t>
  </si>
  <si>
    <t>RME160</t>
  </si>
  <si>
    <t>RM143</t>
  </si>
  <si>
    <t>Finance</t>
  </si>
  <si>
    <t>RME161</t>
  </si>
  <si>
    <t>RM144</t>
  </si>
  <si>
    <t>Insurance</t>
  </si>
  <si>
    <t>RME162</t>
  </si>
  <si>
    <t>RM145</t>
  </si>
  <si>
    <t>Auxiliary services</t>
  </si>
  <si>
    <t>RME163</t>
  </si>
  <si>
    <t>RM146</t>
  </si>
  <si>
    <t>Real estate</t>
  </si>
  <si>
    <t>RME164</t>
  </si>
  <si>
    <t>RM147</t>
  </si>
  <si>
    <t>Law and accounting</t>
  </si>
  <si>
    <t>RME165</t>
  </si>
  <si>
    <t>RM148</t>
  </si>
  <si>
    <t>Architecture</t>
  </si>
  <si>
    <t>RME166</t>
  </si>
  <si>
    <t>RM149</t>
  </si>
  <si>
    <t>Research</t>
  </si>
  <si>
    <t>RME167</t>
  </si>
  <si>
    <t>RM150</t>
  </si>
  <si>
    <t>Advertising</t>
  </si>
  <si>
    <t>RME168</t>
  </si>
  <si>
    <t>RM151</t>
  </si>
  <si>
    <t>Other services</t>
  </si>
  <si>
    <t>RME169</t>
  </si>
  <si>
    <t>RM152</t>
  </si>
  <si>
    <t>Rental and leasing</t>
  </si>
  <si>
    <t>RME170</t>
  </si>
  <si>
    <t>RM153</t>
  </si>
  <si>
    <t>Employment services</t>
  </si>
  <si>
    <t>RME171</t>
  </si>
  <si>
    <t>RM154</t>
  </si>
  <si>
    <t>Travel services</t>
  </si>
  <si>
    <t>RME172</t>
  </si>
  <si>
    <t>RM155</t>
  </si>
  <si>
    <t>Security, office support</t>
  </si>
  <si>
    <t>RME173</t>
  </si>
  <si>
    <t>RM156</t>
  </si>
  <si>
    <t>Public administration</t>
  </si>
  <si>
    <t>Public administration, defense</t>
  </si>
  <si>
    <t>RME174</t>
  </si>
  <si>
    <t>RM157</t>
  </si>
  <si>
    <t>Education</t>
  </si>
  <si>
    <t>RME175</t>
  </si>
  <si>
    <t>RM158</t>
  </si>
  <si>
    <t>Human health</t>
  </si>
  <si>
    <t>RME176</t>
  </si>
  <si>
    <t>RM159</t>
  </si>
  <si>
    <t>Social work</t>
  </si>
  <si>
    <t>RME177</t>
  </si>
  <si>
    <t>RM160</t>
  </si>
  <si>
    <t>Cultural services</t>
  </si>
  <si>
    <t>RME178</t>
  </si>
  <si>
    <t>RM161</t>
  </si>
  <si>
    <t>Recreation</t>
  </si>
  <si>
    <t>RME179</t>
  </si>
  <si>
    <t>RM162</t>
  </si>
  <si>
    <t>Membership services</t>
  </si>
  <si>
    <t>RME180</t>
  </si>
  <si>
    <t>RM163</t>
  </si>
  <si>
    <t>Repair of personal goods</t>
  </si>
  <si>
    <t>RME181</t>
  </si>
  <si>
    <t>RM164_166</t>
  </si>
  <si>
    <t>Services nec</t>
  </si>
  <si>
    <t>RME182</t>
  </si>
  <si>
    <t>RM165</t>
  </si>
  <si>
    <t>Household services</t>
  </si>
  <si>
    <t>HFCE</t>
  </si>
  <si>
    <t>Household consumption</t>
  </si>
  <si>
    <t>NFCE</t>
  </si>
  <si>
    <t>Government consumption</t>
  </si>
  <si>
    <t>GFCE</t>
  </si>
  <si>
    <t>NPISH consumption</t>
  </si>
  <si>
    <t>INV</t>
  </si>
  <si>
    <t>Investment</t>
  </si>
  <si>
    <t>CINV</t>
  </si>
  <si>
    <t>Inventory changes</t>
  </si>
  <si>
    <t>OUT</t>
  </si>
  <si>
    <t>Output</t>
  </si>
  <si>
    <t>EXP</t>
  </si>
  <si>
    <t>Exports</t>
  </si>
  <si>
    <t>:</t>
  </si>
  <si>
    <t>cpa</t>
  </si>
  <si>
    <t>rm_sbs</t>
  </si>
  <si>
    <t>rm_unido</t>
  </si>
  <si>
    <t>CPA_A01</t>
  </si>
  <si>
    <t>Dried vegetables/Pulses</t>
  </si>
  <si>
    <t>RME018-019</t>
  </si>
  <si>
    <t>CPA_A02</t>
  </si>
  <si>
    <t>CPA_A03</t>
  </si>
  <si>
    <t>CPA_B</t>
  </si>
  <si>
    <t>RM023_025</t>
  </si>
  <si>
    <t>RM027-037</t>
  </si>
  <si>
    <t>RM028-037</t>
  </si>
  <si>
    <t>RME038-044</t>
  </si>
  <si>
    <t>RM038-041</t>
  </si>
  <si>
    <t>RM038-044</t>
  </si>
  <si>
    <t>RM042</t>
  </si>
  <si>
    <t>RME049-050</t>
  </si>
  <si>
    <t>RM042-044</t>
  </si>
  <si>
    <t>RM043</t>
  </si>
  <si>
    <t>Silica</t>
  </si>
  <si>
    <t>RM045-047</t>
  </si>
  <si>
    <t>RME053_055</t>
  </si>
  <si>
    <t>CPA_C10-12</t>
  </si>
  <si>
    <t>RME064-065</t>
  </si>
  <si>
    <t>CPA_C13-15</t>
  </si>
  <si>
    <t>CPA_C16</t>
  </si>
  <si>
    <t>CPA_C17</t>
  </si>
  <si>
    <t>CPA_C18</t>
  </si>
  <si>
    <t>CPA_C19</t>
  </si>
  <si>
    <t>CPA_C20</t>
  </si>
  <si>
    <t>CPA_C21</t>
  </si>
  <si>
    <t>CPA_C22</t>
  </si>
  <si>
    <t>CPA_C23</t>
  </si>
  <si>
    <t>CPA_C24</t>
  </si>
  <si>
    <t>RM088-090</t>
  </si>
  <si>
    <t>RM088-097</t>
  </si>
  <si>
    <t>RM092-094</t>
  </si>
  <si>
    <t>RM096-097</t>
  </si>
  <si>
    <t>RME106-112</t>
  </si>
  <si>
    <t>RME114-115</t>
  </si>
  <si>
    <t>RME116-117</t>
  </si>
  <si>
    <t>CPA_C25</t>
  </si>
  <si>
    <t>CPA_C26</t>
  </si>
  <si>
    <t>CPA_C27</t>
  </si>
  <si>
    <t>CPA_C28</t>
  </si>
  <si>
    <t>CPA_C29</t>
  </si>
  <si>
    <t>CPA_C30</t>
  </si>
  <si>
    <t>CPA_C31_32</t>
  </si>
  <si>
    <t>CPA_C33</t>
  </si>
  <si>
    <t>CPA_D35</t>
  </si>
  <si>
    <t>CPA_E36</t>
  </si>
  <si>
    <t>CPA_E37-39</t>
  </si>
  <si>
    <t>CPA_F</t>
  </si>
  <si>
    <t>CPA_G45</t>
  </si>
  <si>
    <t>CPA_G46</t>
  </si>
  <si>
    <t>CPA_G47</t>
  </si>
  <si>
    <t>CPA_H49</t>
  </si>
  <si>
    <t>CPA_H50</t>
  </si>
  <si>
    <t>CPA_H51</t>
  </si>
  <si>
    <t>CPA_H52</t>
  </si>
  <si>
    <t>CPA_H53</t>
  </si>
  <si>
    <t>CPA_I</t>
  </si>
  <si>
    <t>CPA_J58</t>
  </si>
  <si>
    <t>CPA_J59_60</t>
  </si>
  <si>
    <t>CPA_J61</t>
  </si>
  <si>
    <t>CPA_J62_63</t>
  </si>
  <si>
    <t>CPA_K64</t>
  </si>
  <si>
    <t>CPA_K65</t>
  </si>
  <si>
    <t>CPA_K66</t>
  </si>
  <si>
    <t>CPA_L68</t>
  </si>
  <si>
    <t>CPA_M69_70</t>
  </si>
  <si>
    <t>CPA_M71</t>
  </si>
  <si>
    <t>CPA_M72</t>
  </si>
  <si>
    <t>CPA_M73</t>
  </si>
  <si>
    <t>CPA_M74_75</t>
  </si>
  <si>
    <t>CPA_N77</t>
  </si>
  <si>
    <t>CPA_N78</t>
  </si>
  <si>
    <t>CPA_N79</t>
  </si>
  <si>
    <t>CPA_N80-82</t>
  </si>
  <si>
    <t>CPA_O84</t>
  </si>
  <si>
    <t>CPA_P85</t>
  </si>
  <si>
    <t>CPA_Q86</t>
  </si>
  <si>
    <t>CPA_Q87_88</t>
  </si>
  <si>
    <t>CPA_R90-92</t>
  </si>
  <si>
    <t>CPA_R93</t>
  </si>
  <si>
    <t>CPA_S94</t>
  </si>
  <si>
    <t>CPA_S95</t>
  </si>
  <si>
    <t>RM164</t>
  </si>
  <si>
    <t>CPA_S96</t>
  </si>
  <si>
    <t>CPA_T</t>
  </si>
  <si>
    <t>RM166</t>
  </si>
  <si>
    <t>CPA_U</t>
  </si>
  <si>
    <t>Extraterritorial organisations</t>
  </si>
  <si>
    <t>GVA</t>
  </si>
  <si>
    <t>ieap</t>
  </si>
  <si>
    <t>rmh</t>
  </si>
  <si>
    <t>iea_label</t>
  </si>
  <si>
    <t>mfa</t>
  </si>
  <si>
    <t>nrgp</t>
  </si>
  <si>
    <t>nrgp_label</t>
  </si>
  <si>
    <t>BIOFUEL_NONSPEC</t>
  </si>
  <si>
    <t>Non-specified primary biofuels &amp; waste</t>
  </si>
  <si>
    <t>BIOE</t>
  </si>
  <si>
    <t>Bioenergy</t>
  </si>
  <si>
    <t>MANUFACTURED_GAS_OUTPUT</t>
  </si>
  <si>
    <t>Elec/heat output from non-specified manufactured gases</t>
  </si>
  <si>
    <t>C0350-0370</t>
  </si>
  <si>
    <t>Manufactured gases</t>
  </si>
  <si>
    <t>BLAST_FURNACE_GAS</t>
  </si>
  <si>
    <t>Blast furnace gas</t>
  </si>
  <si>
    <t>C0371</t>
  </si>
  <si>
    <t>OTH_RECOVGASES</t>
  </si>
  <si>
    <t>Other recovered gases</t>
  </si>
  <si>
    <t>C0379</t>
  </si>
  <si>
    <t>OIL_PRIM_PRODUCTS_ND</t>
  </si>
  <si>
    <t>Primary oil (no detail)</t>
  </si>
  <si>
    <t>O4100_TOT_4200-4500</t>
  </si>
  <si>
    <t>Crude oil, NGL, refinery feedstocks, additives and oxygenates and other hydrocarbons</t>
  </si>
  <si>
    <t>PEAT</t>
  </si>
  <si>
    <t>P1100</t>
  </si>
  <si>
    <t>PEAT_PRODUCTS</t>
  </si>
  <si>
    <t>Peat products</t>
  </si>
  <si>
    <t>P1200</t>
  </si>
  <si>
    <t>CHARCOAL</t>
  </si>
  <si>
    <t>Charcoal</t>
  </si>
  <si>
    <t>R5160</t>
  </si>
  <si>
    <t>RENEWABLES_TOTAL</t>
  </si>
  <si>
    <t>Total of renewable energy sources</t>
  </si>
  <si>
    <t>RA000</t>
  </si>
  <si>
    <t>Renewables and biofuels</t>
  </si>
  <si>
    <t>TOTAL</t>
  </si>
  <si>
    <t>Total</t>
  </si>
  <si>
    <t>OTH_ENSOURC</t>
  </si>
  <si>
    <t>Other energy sources</t>
  </si>
  <si>
    <t>X9900</t>
  </si>
  <si>
    <t>Other fuels n.e.c.</t>
  </si>
  <si>
    <t>PRIMARY_SOLID_BIOFUEL</t>
  </si>
  <si>
    <t>RM019.2</t>
  </si>
  <si>
    <t>Primary solid biofuels</t>
  </si>
  <si>
    <t>RE700</t>
  </si>
  <si>
    <t>R5110-5150_W6000RI</t>
  </si>
  <si>
    <t>HARDCOAL_ND</t>
  </si>
  <si>
    <t>Hard coal (no detail)</t>
  </si>
  <si>
    <t>C0100</t>
  </si>
  <si>
    <t>ANTHRACITE</t>
  </si>
  <si>
    <t>Anthracite</t>
  </si>
  <si>
    <t>C0110</t>
  </si>
  <si>
    <t>COKING_COAL</t>
  </si>
  <si>
    <t>Coking coal</t>
  </si>
  <si>
    <t>C0121</t>
  </si>
  <si>
    <t>OTH_BITCOAL</t>
  </si>
  <si>
    <t>Other bituminous coal</t>
  </si>
  <si>
    <t>C0129</t>
  </si>
  <si>
    <t>BROWNCOAL_ND</t>
  </si>
  <si>
    <t>Brown coal (no detail)</t>
  </si>
  <si>
    <t>C0200</t>
  </si>
  <si>
    <t>Brown coal</t>
  </si>
  <si>
    <t>SUB_BITCOAL</t>
  </si>
  <si>
    <t>Sub-bituminous coal</t>
  </si>
  <si>
    <t>C0210</t>
  </si>
  <si>
    <t>LIGNITE</t>
  </si>
  <si>
    <t>C0220</t>
  </si>
  <si>
    <t>CRUDE_OIL</t>
  </si>
  <si>
    <t>Crude oil</t>
  </si>
  <si>
    <t>O4100_TOT</t>
  </si>
  <si>
    <t>NGL</t>
  </si>
  <si>
    <t>Natural gas liquids</t>
  </si>
  <si>
    <t>O4200</t>
  </si>
  <si>
    <t>OIL_SHALE</t>
  </si>
  <si>
    <t>Oil shale and oil sands</t>
  </si>
  <si>
    <t>S2000</t>
  </si>
  <si>
    <t>NATURAL_GAS</t>
  </si>
  <si>
    <t>Natural Gas</t>
  </si>
  <si>
    <t>G3000</t>
  </si>
  <si>
    <t>COKE_OVEN_COKE_OTH</t>
  </si>
  <si>
    <t>Coke oven cokes</t>
  </si>
  <si>
    <t>C0311</t>
  </si>
  <si>
    <t>Coke oven coke</t>
  </si>
  <si>
    <t>GAS_COKE</t>
  </si>
  <si>
    <t>Gas Coke</t>
  </si>
  <si>
    <t>C0312</t>
  </si>
  <si>
    <t>Gas coke</t>
  </si>
  <si>
    <t>COAL_TAR</t>
  </si>
  <si>
    <t>Coal tar</t>
  </si>
  <si>
    <t>C0340</t>
  </si>
  <si>
    <t>COKE_OVEN_GAS</t>
  </si>
  <si>
    <t>Coke oven gas</t>
  </si>
  <si>
    <t>C0350</t>
  </si>
  <si>
    <t>REFINERY_FEEDSTOCKS</t>
  </si>
  <si>
    <t>Refinery feedstocks</t>
  </si>
  <si>
    <t>O4300</t>
  </si>
  <si>
    <t>PATENT_FUEL</t>
  </si>
  <si>
    <t>RM067.1</t>
  </si>
  <si>
    <t>Patent fuel</t>
  </si>
  <si>
    <t>C0320</t>
  </si>
  <si>
    <t>BKB</t>
  </si>
  <si>
    <t>Brown coal briquettes (BKB)</t>
  </si>
  <si>
    <t>C0330</t>
  </si>
  <si>
    <t>Brown coal briquettes</t>
  </si>
  <si>
    <t>AVIATION_GASOLINE</t>
  </si>
  <si>
    <t>RM067.2</t>
  </si>
  <si>
    <t>Aviation gasoline</t>
  </si>
  <si>
    <t>O4651</t>
  </si>
  <si>
    <t>MOTOR_GASOLINE_NONBIO</t>
  </si>
  <si>
    <t>Motor gasoline excluding any biofuel component</t>
  </si>
  <si>
    <t>O4652XR5210B</t>
  </si>
  <si>
    <t>Motor gasoline (excluding biofuel portion)</t>
  </si>
  <si>
    <t>GASOLINE_JET</t>
  </si>
  <si>
    <t>RM067.3</t>
  </si>
  <si>
    <t>Gasoline-type jet-fuel</t>
  </si>
  <si>
    <t>O4653</t>
  </si>
  <si>
    <t>Gasoline-type jet fuel</t>
  </si>
  <si>
    <t>KEROSENE_JET_NONBIO</t>
  </si>
  <si>
    <t>Kerosene type jet fuel excl. biofuels</t>
  </si>
  <si>
    <t>O4661XR5230B</t>
  </si>
  <si>
    <t>Kerosene-type jet fuel (excluding biofuel portion)</t>
  </si>
  <si>
    <t>GAS_DIESEL_OIL_NONBIO</t>
  </si>
  <si>
    <t>RM067.4</t>
  </si>
  <si>
    <t>Gas/diesel oil excl. biofuels</t>
  </si>
  <si>
    <t>O4671XR5220B</t>
  </si>
  <si>
    <t>Gas oil and diesel oil (excluding biofuel portion)</t>
  </si>
  <si>
    <t>FUEL_OIL_RESIDUAL</t>
  </si>
  <si>
    <t>RM067.5</t>
  </si>
  <si>
    <t>Residual fuel oil</t>
  </si>
  <si>
    <t>O4680</t>
  </si>
  <si>
    <t>Fuel oil</t>
  </si>
  <si>
    <t>ADDITIVES</t>
  </si>
  <si>
    <t>RM067.6</t>
  </si>
  <si>
    <t>Additives/blending component</t>
  </si>
  <si>
    <t>O4400</t>
  </si>
  <si>
    <t>Additives and oxygenates</t>
  </si>
  <si>
    <t>HYDROCARBONS_OTHER</t>
  </si>
  <si>
    <t>Other hydrocarbons</t>
  </si>
  <si>
    <t>O4500</t>
  </si>
  <si>
    <t>REFINERY_GAS</t>
  </si>
  <si>
    <t>Refinery gas</t>
  </si>
  <si>
    <t>O4610</t>
  </si>
  <si>
    <t>ETHANE</t>
  </si>
  <si>
    <t>Ethane</t>
  </si>
  <si>
    <t>O4620</t>
  </si>
  <si>
    <t>LPG</t>
  </si>
  <si>
    <t>Liquefied petroleum gas</t>
  </si>
  <si>
    <t>O4630</t>
  </si>
  <si>
    <t>Liquefied petroleum gases</t>
  </si>
  <si>
    <t>NAPHTHA</t>
  </si>
  <si>
    <t>Naphtha</t>
  </si>
  <si>
    <t>O4640</t>
  </si>
  <si>
    <t>KEROSENE_OTHER</t>
  </si>
  <si>
    <t>Other kerosene</t>
  </si>
  <si>
    <t>O4669</t>
  </si>
  <si>
    <t>WHITE_SPIRIT</t>
  </si>
  <si>
    <t>White spirit &amp; SBP</t>
  </si>
  <si>
    <t>O4691</t>
  </si>
  <si>
    <t>White spirit and special boiling point industrial spirits</t>
  </si>
  <si>
    <t>LUBRICANTS</t>
  </si>
  <si>
    <t>Lubricants</t>
  </si>
  <si>
    <t>O4692</t>
  </si>
  <si>
    <t>PARAFFIN_WAXES</t>
  </si>
  <si>
    <t>Paraffin waxes</t>
  </si>
  <si>
    <t>O4693</t>
  </si>
  <si>
    <t>PETROLEUM_COKE</t>
  </si>
  <si>
    <t>Petroleum coke</t>
  </si>
  <si>
    <t>O4694</t>
  </si>
  <si>
    <t>BITUMEN</t>
  </si>
  <si>
    <t>Bitumen</t>
  </si>
  <si>
    <t>O4695</t>
  </si>
  <si>
    <t>OTH_SEC_OIL_PRODS_ND</t>
  </si>
  <si>
    <t>Other non-specified secondary oil products</t>
  </si>
  <si>
    <t>O4699</t>
  </si>
  <si>
    <t>Other oil products n.e.c.</t>
  </si>
  <si>
    <t>BIOGASOLINE</t>
  </si>
  <si>
    <t>RM074.2</t>
  </si>
  <si>
    <t>Biogasoline</t>
  </si>
  <si>
    <t>R5210B_E_P</t>
  </si>
  <si>
    <t>Pure and blended biogasoline</t>
  </si>
  <si>
    <t>BIODIESEL</t>
  </si>
  <si>
    <t>Biodiesels</t>
  </si>
  <si>
    <t>R5220B_P</t>
  </si>
  <si>
    <t>Pure and blended biodiesels</t>
  </si>
  <si>
    <t>KEROSENE_JET_BIO</t>
  </si>
  <si>
    <t>Bio Jet Kerosene</t>
  </si>
  <si>
    <t>R5230B</t>
  </si>
  <si>
    <t>Pure and blended bio jet kerosene</t>
  </si>
  <si>
    <t>LIQBIOFUEL_OTHER</t>
  </si>
  <si>
    <t>Other liquid biofuels</t>
  </si>
  <si>
    <t>R5290</t>
  </si>
  <si>
    <t>BIOGASES</t>
  </si>
  <si>
    <t>Biogases</t>
  </si>
  <si>
    <t>R5300</t>
  </si>
  <si>
    <t>NUCLEAR</t>
  </si>
  <si>
    <t>Nuclear</t>
  </si>
  <si>
    <t>N900H</t>
  </si>
  <si>
    <t>Nuclear heat</t>
  </si>
  <si>
    <t>ELECTRICITY</t>
  </si>
  <si>
    <t>RM124.1</t>
  </si>
  <si>
    <t>Electricity</t>
  </si>
  <si>
    <t>E7000</t>
  </si>
  <si>
    <t>HYDRO</t>
  </si>
  <si>
    <t>RM124.2</t>
  </si>
  <si>
    <t>Hydropower</t>
  </si>
  <si>
    <t>RA100</t>
  </si>
  <si>
    <t>Hydro</t>
  </si>
  <si>
    <t>WIND</t>
  </si>
  <si>
    <t>RM124.3</t>
  </si>
  <si>
    <t>Wind</t>
  </si>
  <si>
    <t>RA300</t>
  </si>
  <si>
    <t>SOLAR_PV</t>
  </si>
  <si>
    <t>RM124.4</t>
  </si>
  <si>
    <t>Solar Photovoltaics</t>
  </si>
  <si>
    <t>RA420</t>
  </si>
  <si>
    <t>Solar photovoltaic</t>
  </si>
  <si>
    <t>TIDAL_WAVE_OCEAN</t>
  </si>
  <si>
    <t>RM124.5</t>
  </si>
  <si>
    <t>Tidal, Wave and other Ocean Energy Sources</t>
  </si>
  <si>
    <t>RA500</t>
  </si>
  <si>
    <t>Tide, wave, ocean</t>
  </si>
  <si>
    <t>GASWORKS_GAS</t>
  </si>
  <si>
    <t>RM125.1</t>
  </si>
  <si>
    <t>Gas works gas</t>
  </si>
  <si>
    <t>C0360</t>
  </si>
  <si>
    <t>HEAT</t>
  </si>
  <si>
    <t>Heat</t>
  </si>
  <si>
    <t>H8000</t>
  </si>
  <si>
    <t>HEAT_COMBUSTIBLES_NS</t>
  </si>
  <si>
    <t>Heat production from non-specified combustible fuels</t>
  </si>
  <si>
    <t>GEOTHERMAL</t>
  </si>
  <si>
    <t>RM126.2</t>
  </si>
  <si>
    <t>Geothermal</t>
  </si>
  <si>
    <t>RA200</t>
  </si>
  <si>
    <t>SOLAR_THERMAL</t>
  </si>
  <si>
    <t>RM126.3</t>
  </si>
  <si>
    <t>Solar thermal</t>
  </si>
  <si>
    <t>RA410</t>
  </si>
  <si>
    <t>WASTE_INDUSTRIAL_NONREN</t>
  </si>
  <si>
    <t>RM128.2</t>
  </si>
  <si>
    <t>Industrial waste, non-renewable</t>
  </si>
  <si>
    <t>RE800</t>
  </si>
  <si>
    <t>W6100</t>
  </si>
  <si>
    <t>Industrial waste (non-renewable)</t>
  </si>
  <si>
    <t>WASTE_MUNICIPAL_REN</t>
  </si>
  <si>
    <t>Municipal waste, renewable</t>
  </si>
  <si>
    <t>W6210</t>
  </si>
  <si>
    <t>Renewable municipal waste</t>
  </si>
  <si>
    <t>WASTE_MUNICIPAL_NONREN</t>
  </si>
  <si>
    <t>Municipal waste, non-renewable</t>
  </si>
  <si>
    <t>W6220</t>
  </si>
  <si>
    <t>Non-renewable municipal waste</t>
  </si>
  <si>
    <t>irp</t>
  </si>
  <si>
    <t>material</t>
  </si>
  <si>
    <t>All.FeCr</t>
  </si>
  <si>
    <t>Ferrochrome</t>
  </si>
  <si>
    <t>All.FeMn</t>
  </si>
  <si>
    <t>Ferromanganese</t>
  </si>
  <si>
    <t>All.FeMo</t>
  </si>
  <si>
    <t>Ferromolybdenum</t>
  </si>
  <si>
    <t>All.FeNi</t>
  </si>
  <si>
    <t>Ferronickel</t>
  </si>
  <si>
    <t>All.FeSi</t>
  </si>
  <si>
    <t>Ferrosilicon</t>
  </si>
  <si>
    <t>All.FeV</t>
  </si>
  <si>
    <t>Ferrovanadium</t>
  </si>
  <si>
    <t>All.FeW</t>
  </si>
  <si>
    <t>Ferrotungsten</t>
  </si>
  <si>
    <t>AO.Ag</t>
  </si>
  <si>
    <t>Silver - associated ore</t>
  </si>
  <si>
    <t>A.2.2.Ag</t>
  </si>
  <si>
    <t>AO.Al</t>
  </si>
  <si>
    <t>Aluminium - associated ore</t>
  </si>
  <si>
    <t>AO.As</t>
  </si>
  <si>
    <t>Arsenic - associated ore</t>
  </si>
  <si>
    <t>AO.Au</t>
  </si>
  <si>
    <t>Gold - associated ore</t>
  </si>
  <si>
    <t>A.2.2.Au</t>
  </si>
  <si>
    <t>AO.Be</t>
  </si>
  <si>
    <t>Beryllium - associated ore</t>
  </si>
  <si>
    <t>AO.Bi</t>
  </si>
  <si>
    <t>Bismuth - associated ore</t>
  </si>
  <si>
    <t>A.2.2.nec</t>
  </si>
  <si>
    <t>AO.Cd</t>
  </si>
  <si>
    <t>Cadmium - associated ore</t>
  </si>
  <si>
    <t>AO.Co</t>
  </si>
  <si>
    <t>Cobalt - associated ore</t>
  </si>
  <si>
    <t>AO.Cr</t>
  </si>
  <si>
    <t>Chromium - associated ore</t>
  </si>
  <si>
    <t>A.2.2.Cr</t>
  </si>
  <si>
    <t>AO.Cs</t>
  </si>
  <si>
    <t>Caesium - associated ore</t>
  </si>
  <si>
    <t>AO.Cu</t>
  </si>
  <si>
    <t>Copper - associated ore</t>
  </si>
  <si>
    <t>A.2.2.Cu</t>
  </si>
  <si>
    <t>AO.Fe</t>
  </si>
  <si>
    <t>Iron - associated ore</t>
  </si>
  <si>
    <t>A.2.1.Fe</t>
  </si>
  <si>
    <t>AO.Ga</t>
  </si>
  <si>
    <t>Gallium - associated ore</t>
  </si>
  <si>
    <t>AO.Ge</t>
  </si>
  <si>
    <t>Germanium - associated ore</t>
  </si>
  <si>
    <t>AO.Hf</t>
  </si>
  <si>
    <t>Hafnium - associated ore</t>
  </si>
  <si>
    <t>AO.Hg</t>
  </si>
  <si>
    <t>Mercury - associated ore</t>
  </si>
  <si>
    <t>AO.In</t>
  </si>
  <si>
    <t>Indium - associated ore</t>
  </si>
  <si>
    <t>AO.Ir</t>
  </si>
  <si>
    <t>Iridium - associated ore</t>
  </si>
  <si>
    <t>A.2.2.Pt</t>
  </si>
  <si>
    <t>AO.Li</t>
  </si>
  <si>
    <t>Lithium - associated ore</t>
  </si>
  <si>
    <t>AO.Mg</t>
  </si>
  <si>
    <t>Magnesium - associated ore</t>
  </si>
  <si>
    <t>AO.Mn</t>
  </si>
  <si>
    <t>Manganese - associated ore</t>
  </si>
  <si>
    <t>A.2.2.Mn</t>
  </si>
  <si>
    <t>AO.Mo</t>
  </si>
  <si>
    <t>Molybdenum - associated ore</t>
  </si>
  <si>
    <t>AO.Nb</t>
  </si>
  <si>
    <t>Niobium - associated ore</t>
  </si>
  <si>
    <t>AO.Ni</t>
  </si>
  <si>
    <t>Nickel - associated ore</t>
  </si>
  <si>
    <t>A.2.2.Ni</t>
  </si>
  <si>
    <t>AO.Os</t>
  </si>
  <si>
    <t>Osmium - associated ore</t>
  </si>
  <si>
    <t>AO.Pb</t>
  </si>
  <si>
    <t>Lead - associated ore</t>
  </si>
  <si>
    <t>A.2.2.Pb</t>
  </si>
  <si>
    <t>AO.Pd</t>
  </si>
  <si>
    <t>Palladium - associated ore</t>
  </si>
  <si>
    <t>AO.pgm</t>
  </si>
  <si>
    <t>PGM - associated ore</t>
  </si>
  <si>
    <t>AO.Pt</t>
  </si>
  <si>
    <t>Platinum - associated ore</t>
  </si>
  <si>
    <t>AO.Rb</t>
  </si>
  <si>
    <t>Rubidium - associated ore</t>
  </si>
  <si>
    <t>AO.Re</t>
  </si>
  <si>
    <t>Rhenium - associated ore</t>
  </si>
  <si>
    <t>AO.rem</t>
  </si>
  <si>
    <t>REM - associated ore</t>
  </si>
  <si>
    <t>AO.Rh</t>
  </si>
  <si>
    <t>Rhodium - associated ore</t>
  </si>
  <si>
    <t>AO.Ru</t>
  </si>
  <si>
    <t>Ruthenium - associated ore</t>
  </si>
  <si>
    <t>AO.Sb</t>
  </si>
  <si>
    <t>Antimony - associated ore</t>
  </si>
  <si>
    <t>AO.Se</t>
  </si>
  <si>
    <t>Selenium - associated ore</t>
  </si>
  <si>
    <t>AO.Sn</t>
  </si>
  <si>
    <t>Tin - associated ore</t>
  </si>
  <si>
    <t>A.2.2.Sn</t>
  </si>
  <si>
    <t>AO.Sr</t>
  </si>
  <si>
    <t>Strontium - associated ore</t>
  </si>
  <si>
    <t>AO.Ta</t>
  </si>
  <si>
    <t>Tantalum - associated ore</t>
  </si>
  <si>
    <t>AO.Te</t>
  </si>
  <si>
    <t>Tellurium - associated ore</t>
  </si>
  <si>
    <t>AO.Th</t>
  </si>
  <si>
    <t>Thorium - associated ore</t>
  </si>
  <si>
    <t>AO.Ti</t>
  </si>
  <si>
    <t>Titanium - associated ore</t>
  </si>
  <si>
    <t>A.2.2.Ti</t>
  </si>
  <si>
    <t>AO.Tl</t>
  </si>
  <si>
    <t>Thallium - associated ore</t>
  </si>
  <si>
    <t>AO.U</t>
  </si>
  <si>
    <t>Uranium - associated ore</t>
  </si>
  <si>
    <t>A.2.2.U</t>
  </si>
  <si>
    <t>AO.V</t>
  </si>
  <si>
    <t>Vanadium - associated ore</t>
  </si>
  <si>
    <t>AO.W</t>
  </si>
  <si>
    <t>Tungsten - associated ore</t>
  </si>
  <si>
    <t>AO.Zn</t>
  </si>
  <si>
    <t>Zinc - associated ore</t>
  </si>
  <si>
    <t>A.2.2.Zn</t>
  </si>
  <si>
    <t>AO.Zr</t>
  </si>
  <si>
    <t>Zirconium - associated ore</t>
  </si>
  <si>
    <t>Con.Ag</t>
  </si>
  <si>
    <t>Silver concentrate</t>
  </si>
  <si>
    <t>Con.Al</t>
  </si>
  <si>
    <t>Aluminium concentrate</t>
  </si>
  <si>
    <t>Con.Au</t>
  </si>
  <si>
    <t>Gold concentrate</t>
  </si>
  <si>
    <t>Con.Be</t>
  </si>
  <si>
    <t>Beryllium concentrate</t>
  </si>
  <si>
    <t>Con.bulk</t>
  </si>
  <si>
    <t>Bulk concentrate</t>
  </si>
  <si>
    <t>Con.Co</t>
  </si>
  <si>
    <t>Cobalt concentrate</t>
  </si>
  <si>
    <t>Con.Cr</t>
  </si>
  <si>
    <t>Chromium concentrate</t>
  </si>
  <si>
    <t>Con.Cu</t>
  </si>
  <si>
    <t>Copper concentrate</t>
  </si>
  <si>
    <t>Con.CuS</t>
  </si>
  <si>
    <t>Copper sulphide concentrate</t>
  </si>
  <si>
    <t>Con.Fe</t>
  </si>
  <si>
    <t>Iron ore concentrate</t>
  </si>
  <si>
    <t>Con.FeNi</t>
  </si>
  <si>
    <t>Ferronickel concentrate</t>
  </si>
  <si>
    <t>Con.Li</t>
  </si>
  <si>
    <t>Lithium concentrate</t>
  </si>
  <si>
    <t>Con.MnCO3</t>
  </si>
  <si>
    <t>Manganese carbonate concentrate</t>
  </si>
  <si>
    <t>Con.MnO</t>
  </si>
  <si>
    <t>Manganese oxide concentrate</t>
  </si>
  <si>
    <t>Con.Mo</t>
  </si>
  <si>
    <t>Molybdenum  concentrate</t>
  </si>
  <si>
    <t>Con.nep</t>
  </si>
  <si>
    <t>Nepheline concentrate</t>
  </si>
  <si>
    <t>Con.Ni</t>
  </si>
  <si>
    <t>Nickel concentrate</t>
  </si>
  <si>
    <t>Con.Pb</t>
  </si>
  <si>
    <t>Lead concentrate</t>
  </si>
  <si>
    <t>Con.Pd</t>
  </si>
  <si>
    <t>Palladium concentrate</t>
  </si>
  <si>
    <t>Con.pgm</t>
  </si>
  <si>
    <t>PGM concentrate</t>
  </si>
  <si>
    <t>Con.rem</t>
  </si>
  <si>
    <t>Rare-earth concentrate</t>
  </si>
  <si>
    <t>Con.S</t>
  </si>
  <si>
    <t>Sulphur concentrate</t>
  </si>
  <si>
    <t>Con.Ta</t>
  </si>
  <si>
    <t>Tantalum concentrate</t>
  </si>
  <si>
    <t>Con.Ti</t>
  </si>
  <si>
    <t>Titanium concentrate</t>
  </si>
  <si>
    <t>Con.U3O8</t>
  </si>
  <si>
    <t>Uranium oxide concentrate</t>
  </si>
  <si>
    <t>Con.W</t>
  </si>
  <si>
    <t>Tungsten concentrate</t>
  </si>
  <si>
    <t>Con.Zn</t>
  </si>
  <si>
    <t>Zinc  concentrate</t>
  </si>
  <si>
    <t>Con.Zr</t>
  </si>
  <si>
    <t>Zirconium concentrate</t>
  </si>
  <si>
    <t>F.ant</t>
  </si>
  <si>
    <t>A.4.1.2.1</t>
  </si>
  <si>
    <t>F.coal</t>
  </si>
  <si>
    <t>Coal (unspecified)</t>
  </si>
  <si>
    <t>F.coc</t>
  </si>
  <si>
    <t>Coking Coal</t>
  </si>
  <si>
    <t>A.4.1.2.2</t>
  </si>
  <si>
    <t>F.cro</t>
  </si>
  <si>
    <t>A.4.2.1</t>
  </si>
  <si>
    <t>F.lig</t>
  </si>
  <si>
    <t>A.4.1.1.1</t>
  </si>
  <si>
    <t>F.nag</t>
  </si>
  <si>
    <t>A.4.2.2</t>
  </si>
  <si>
    <t>F.ngl</t>
  </si>
  <si>
    <t>A.4.2.3</t>
  </si>
  <si>
    <t>F.obc</t>
  </si>
  <si>
    <t>A.4.1.2.3</t>
  </si>
  <si>
    <t>F.ois</t>
  </si>
  <si>
    <t>A.4.3</t>
  </si>
  <si>
    <t>F.oth</t>
  </si>
  <si>
    <t>F.pea</t>
  </si>
  <si>
    <t>Peat for energy use</t>
  </si>
  <si>
    <t>A.4.1.3</t>
  </si>
  <si>
    <t>F.sbc</t>
  </si>
  <si>
    <t>A.4.1.1.2</t>
  </si>
  <si>
    <t>Ff.ois</t>
  </si>
  <si>
    <t>Petroleum from oil sands</t>
  </si>
  <si>
    <t>M.abr</t>
  </si>
  <si>
    <t>Abrasives, natural (puzzolan, pumice, volcanic cinder etc.)</t>
  </si>
  <si>
    <t>A.3.4.3</t>
  </si>
  <si>
    <t>M.amb</t>
  </si>
  <si>
    <t>Amber</t>
  </si>
  <si>
    <t>M.asb</t>
  </si>
  <si>
    <t>Asbestos</t>
  </si>
  <si>
    <t>M.asp</t>
  </si>
  <si>
    <t>Asphalt</t>
  </si>
  <si>
    <t>A.3.9</t>
  </si>
  <si>
    <t>M.bac</t>
  </si>
  <si>
    <t>Ball clay</t>
  </si>
  <si>
    <t>A.3.7.2</t>
  </si>
  <si>
    <t>M.bar</t>
  </si>
  <si>
    <t>Barite</t>
  </si>
  <si>
    <t>A.3.4.2</t>
  </si>
  <si>
    <t>M.ben</t>
  </si>
  <si>
    <t>Bentonite, sepiolite and attapulgite</t>
  </si>
  <si>
    <t>M.bor</t>
  </si>
  <si>
    <t>Borate minerals</t>
  </si>
  <si>
    <t>M.bro</t>
  </si>
  <si>
    <t>Bromine</t>
  </si>
  <si>
    <t>M.brs</t>
  </si>
  <si>
    <t>Brine salt</t>
  </si>
  <si>
    <t>A.3.5</t>
  </si>
  <si>
    <t>M.cal</t>
  </si>
  <si>
    <t>Calcite</t>
  </si>
  <si>
    <t>A.3.2.3</t>
  </si>
  <si>
    <t>M.cha</t>
  </si>
  <si>
    <t>Chalk</t>
  </si>
  <si>
    <t>A.3.2.1</t>
  </si>
  <si>
    <t>M.chf</t>
  </si>
  <si>
    <t>Chert and flint</t>
  </si>
  <si>
    <t>M.coc</t>
  </si>
  <si>
    <t>Common clay, clay for bricks etc.</t>
  </si>
  <si>
    <t>A.3.7.1</t>
  </si>
  <si>
    <t>M.con</t>
  </si>
  <si>
    <t>Construction Minerals nec</t>
  </si>
  <si>
    <t>M.crs</t>
  </si>
  <si>
    <t>Crushed stone</t>
  </si>
  <si>
    <t>A.3.8.2</t>
  </si>
  <si>
    <t>M.dia</t>
  </si>
  <si>
    <t>Diatomite</t>
  </si>
  <si>
    <t>M.dim</t>
  </si>
  <si>
    <t>Dimension stone n.e.c.</t>
  </si>
  <si>
    <t>A.3.1</t>
  </si>
  <si>
    <t>M.dol</t>
  </si>
  <si>
    <t>Dolomite</t>
  </si>
  <si>
    <t>A.3.2.2</t>
  </si>
  <si>
    <t>M.evs</t>
  </si>
  <si>
    <t>Evaporated salt</t>
  </si>
  <si>
    <t>M.fel</t>
  </si>
  <si>
    <t>Feldspar</t>
  </si>
  <si>
    <t>M.fic</t>
  </si>
  <si>
    <t>Fire, refactory and flint clay, Andalusite, kyanite and sillimanite</t>
  </si>
  <si>
    <t>M.flu</t>
  </si>
  <si>
    <t>Fluorspar</t>
  </si>
  <si>
    <t>M.fue</t>
  </si>
  <si>
    <t>Fuller's earth</t>
  </si>
  <si>
    <t>M.glu</t>
  </si>
  <si>
    <t>Gluesand</t>
  </si>
  <si>
    <t>M.gra</t>
  </si>
  <si>
    <t>Graphite, natural</t>
  </si>
  <si>
    <t>M.gya</t>
  </si>
  <si>
    <t>Gypsum and anhydrite</t>
  </si>
  <si>
    <t>A.3.6</t>
  </si>
  <si>
    <t>M.ign</t>
  </si>
  <si>
    <t>Igneous rock (basalt, basaltic lava, diabase, granite, porphyry, etc.)</t>
  </si>
  <si>
    <t>M.ill</t>
  </si>
  <si>
    <t>Illite</t>
  </si>
  <si>
    <t>M.ins</t>
  </si>
  <si>
    <t>Industrial sand</t>
  </si>
  <si>
    <t>A.3.8.1</t>
  </si>
  <si>
    <t>M.iod</t>
  </si>
  <si>
    <t>Iodine</t>
  </si>
  <si>
    <t>M.irp</t>
  </si>
  <si>
    <t>Iron ore for pigments</t>
  </si>
  <si>
    <t>M.kao</t>
  </si>
  <si>
    <t>Kaolin</t>
  </si>
  <si>
    <t>M.lat</t>
  </si>
  <si>
    <t>Laterite</t>
  </si>
  <si>
    <t>M.lav</t>
  </si>
  <si>
    <t>Lavasand</t>
  </si>
  <si>
    <t>M.lim</t>
  </si>
  <si>
    <t>Limestone</t>
  </si>
  <si>
    <t>M.loa</t>
  </si>
  <si>
    <t>Loam</t>
  </si>
  <si>
    <t>M.mag</t>
  </si>
  <si>
    <t>Magnesite</t>
  </si>
  <si>
    <t>M.mas</t>
  </si>
  <si>
    <t>Marl and shell</t>
  </si>
  <si>
    <t>M.mat</t>
  </si>
  <si>
    <t>Marble, travertines etc.</t>
  </si>
  <si>
    <t>M.mic</t>
  </si>
  <si>
    <t>Mica</t>
  </si>
  <si>
    <t>M.och</t>
  </si>
  <si>
    <t>Ochre and pigment earths</t>
  </si>
  <si>
    <t>M.onm</t>
  </si>
  <si>
    <t>Other non-metallic minerals n.e.c.</t>
  </si>
  <si>
    <t>M.orn</t>
  </si>
  <si>
    <t>Ornamental stone</t>
  </si>
  <si>
    <t>M.osm</t>
  </si>
  <si>
    <t>Silicate minerals n.e.c.</t>
  </si>
  <si>
    <t>M.pea</t>
  </si>
  <si>
    <t>Peat for agricultural use</t>
  </si>
  <si>
    <t>M.peg</t>
  </si>
  <si>
    <t>Pegmatite sand</t>
  </si>
  <si>
    <t>M.per</t>
  </si>
  <si>
    <t>Perlite</t>
  </si>
  <si>
    <t>M.poc</t>
  </si>
  <si>
    <t>Potter clay</t>
  </si>
  <si>
    <t>M.qar</t>
  </si>
  <si>
    <t>Qartz and quartzite</t>
  </si>
  <si>
    <t>M.ros</t>
  </si>
  <si>
    <t>Rock salt</t>
  </si>
  <si>
    <t>M.sag</t>
  </si>
  <si>
    <t>Sand and gravel</t>
  </si>
  <si>
    <t>M.sal</t>
  </si>
  <si>
    <t>Salt nec</t>
  </si>
  <si>
    <t>M.sas</t>
  </si>
  <si>
    <t>Sandstone</t>
  </si>
  <si>
    <t>M.ses</t>
  </si>
  <si>
    <t>Sea salt</t>
  </si>
  <si>
    <t>M.sil</t>
  </si>
  <si>
    <t>Siliceous earth</t>
  </si>
  <si>
    <t>M.SiO2</t>
  </si>
  <si>
    <t>Silica Sand</t>
  </si>
  <si>
    <t>M.sla</t>
  </si>
  <si>
    <t>Slate including fill (incl. roof slate)</t>
  </si>
  <si>
    <t>M.slc</t>
  </si>
  <si>
    <t>Slate clay</t>
  </si>
  <si>
    <t>M.soc</t>
  </si>
  <si>
    <t>Sodium carbonate, natural</t>
  </si>
  <si>
    <t>M.spc</t>
  </si>
  <si>
    <t>Special clay</t>
  </si>
  <si>
    <t>M.sto</t>
  </si>
  <si>
    <t>Stone, n.e.c.</t>
  </si>
  <si>
    <t>Stone n.e.c.</t>
  </si>
  <si>
    <t>M.tal</t>
  </si>
  <si>
    <t>Talc (steatite, soapstone, pyrophyllite)</t>
  </si>
  <si>
    <t>M.tas</t>
  </si>
  <si>
    <t>Talcous slate</t>
  </si>
  <si>
    <t>M.tur</t>
  </si>
  <si>
    <t>Turfaceous rock</t>
  </si>
  <si>
    <t>M.ver</t>
  </si>
  <si>
    <t>Vermiculite</t>
  </si>
  <si>
    <t>M.wol</t>
  </si>
  <si>
    <t>Wollastonite</t>
  </si>
  <si>
    <t>Me.Ag</t>
  </si>
  <si>
    <t>Me.Al</t>
  </si>
  <si>
    <t>A.2.2.Al</t>
  </si>
  <si>
    <t>Me.Al2O3</t>
  </si>
  <si>
    <t>Alumina</t>
  </si>
  <si>
    <t>Me.AlF3</t>
  </si>
  <si>
    <t>Aluminium fluoride</t>
  </si>
  <si>
    <t>Me.As</t>
  </si>
  <si>
    <t>Arsenic</t>
  </si>
  <si>
    <t>Me.As2O3</t>
  </si>
  <si>
    <t>Arsenic(III) oxide</t>
  </si>
  <si>
    <t>Me.AsCu</t>
  </si>
  <si>
    <t>Arsenical copper</t>
  </si>
  <si>
    <t>Me.Au</t>
  </si>
  <si>
    <t>Me.Be</t>
  </si>
  <si>
    <t>Beryllium</t>
  </si>
  <si>
    <t>Me.Bi</t>
  </si>
  <si>
    <t>Bismuth</t>
  </si>
  <si>
    <t>Me.Ca</t>
  </si>
  <si>
    <t>Calcium</t>
  </si>
  <si>
    <t>Me.CaCO3</t>
  </si>
  <si>
    <t>Calcium carbonate</t>
  </si>
  <si>
    <t>Me.Cd</t>
  </si>
  <si>
    <t>Cadmium</t>
  </si>
  <si>
    <t>Me.Ce</t>
  </si>
  <si>
    <t>Cerium</t>
  </si>
  <si>
    <t>Me.Ce2O3</t>
  </si>
  <si>
    <t>Cerium(III) oxide</t>
  </si>
  <si>
    <t>Me.Co</t>
  </si>
  <si>
    <t>Cobalt</t>
  </si>
  <si>
    <t>Me.Cr</t>
  </si>
  <si>
    <t>Me.Cr2O3</t>
  </si>
  <si>
    <t>Chromium(III) oxide</t>
  </si>
  <si>
    <t>Me.Cs</t>
  </si>
  <si>
    <t>Caesium</t>
  </si>
  <si>
    <t>Me.Cu</t>
  </si>
  <si>
    <t>Me.CuO</t>
  </si>
  <si>
    <t>Copper oxide</t>
  </si>
  <si>
    <t>Me.Dy</t>
  </si>
  <si>
    <t>Dysprosium</t>
  </si>
  <si>
    <t>Me.Dy2O3</t>
  </si>
  <si>
    <t>Dysprosium(III) oxide</t>
  </si>
  <si>
    <t>Me.Er</t>
  </si>
  <si>
    <t>Erbium</t>
  </si>
  <si>
    <t>Me.Er2O3</t>
  </si>
  <si>
    <t>Erbium(III) oxide</t>
  </si>
  <si>
    <t>Me.Eu</t>
  </si>
  <si>
    <t>Europium</t>
  </si>
  <si>
    <t>Me.Eu2O3</t>
  </si>
  <si>
    <t>Europium(III) oxide</t>
  </si>
  <si>
    <t>Me.Fe</t>
  </si>
  <si>
    <t>Iron</t>
  </si>
  <si>
    <t>Me.Ga</t>
  </si>
  <si>
    <t>Gallium</t>
  </si>
  <si>
    <t>Me.Gd</t>
  </si>
  <si>
    <t>Gadolinium</t>
  </si>
  <si>
    <t>Me.Gd2O3</t>
  </si>
  <si>
    <t>Gadolinium(III) oxide</t>
  </si>
  <si>
    <t>Me.Ge</t>
  </si>
  <si>
    <t>Germanium</t>
  </si>
  <si>
    <t>Me.H3BO3</t>
  </si>
  <si>
    <t>Boric Acid</t>
  </si>
  <si>
    <t>Me.Hf</t>
  </si>
  <si>
    <t>Hafnium</t>
  </si>
  <si>
    <t>Me.Hg</t>
  </si>
  <si>
    <t>Mercury</t>
  </si>
  <si>
    <t>Me.Ho</t>
  </si>
  <si>
    <t>Holmium</t>
  </si>
  <si>
    <t>Me.Ho2O3</t>
  </si>
  <si>
    <t>Holmium(III) oxide</t>
  </si>
  <si>
    <t>Me.In</t>
  </si>
  <si>
    <t>Indium</t>
  </si>
  <si>
    <t>Me.Ir</t>
  </si>
  <si>
    <t>Iridium</t>
  </si>
  <si>
    <t>Me.K2O</t>
  </si>
  <si>
    <t>Potassium oxide</t>
  </si>
  <si>
    <t>Me.K2SO4</t>
  </si>
  <si>
    <t>Potassium sulphate</t>
  </si>
  <si>
    <t>Me.KCl</t>
  </si>
  <si>
    <t>Potassium chloride</t>
  </si>
  <si>
    <t>Me.La</t>
  </si>
  <si>
    <t>Lanthanum</t>
  </si>
  <si>
    <t>Me.La2O3</t>
  </si>
  <si>
    <t>Lanthanum(III) oxide</t>
  </si>
  <si>
    <t>Me.Li</t>
  </si>
  <si>
    <t>Lithium</t>
  </si>
  <si>
    <t>Me.Li2CO3</t>
  </si>
  <si>
    <t>Lithium carbonate</t>
  </si>
  <si>
    <t>Me.Li2O</t>
  </si>
  <si>
    <t>Lithium oxide</t>
  </si>
  <si>
    <t>Me.lic</t>
  </si>
  <si>
    <t>Lithium compound n.e.c.</t>
  </si>
  <si>
    <t>Me.LiOH</t>
  </si>
  <si>
    <t>Lithium hydroxide</t>
  </si>
  <si>
    <t>Me.Lu</t>
  </si>
  <si>
    <t>Lutetium</t>
  </si>
  <si>
    <t>Me.Lu2O3</t>
  </si>
  <si>
    <t>Lutetium(III) oxide</t>
  </si>
  <si>
    <t>Me.Mg</t>
  </si>
  <si>
    <t>Me.MgO</t>
  </si>
  <si>
    <t>Magnesium oxide</t>
  </si>
  <si>
    <t>Me.Mn</t>
  </si>
  <si>
    <t>Me.Mo</t>
  </si>
  <si>
    <t>Molybdenum</t>
  </si>
  <si>
    <t>Me.NaHCO3</t>
  </si>
  <si>
    <t>Sodium bicarbonate</t>
  </si>
  <si>
    <t>Me.Nb</t>
  </si>
  <si>
    <t>Niobium</t>
  </si>
  <si>
    <t>Me.Nb2O5</t>
  </si>
  <si>
    <t>Niobium pentoxide</t>
  </si>
  <si>
    <t>Me.Nd</t>
  </si>
  <si>
    <t>Neodymium</t>
  </si>
  <si>
    <t>Me.Nd2O3</t>
  </si>
  <si>
    <t>Neodymium(III) oxide</t>
  </si>
  <si>
    <t>Me.Ni</t>
  </si>
  <si>
    <t>Me.Os</t>
  </si>
  <si>
    <t>Osmium</t>
  </si>
  <si>
    <t>Me.Pb</t>
  </si>
  <si>
    <t>Me.PbO</t>
  </si>
  <si>
    <t>Lead oxide</t>
  </si>
  <si>
    <t>Me.Pd</t>
  </si>
  <si>
    <t>Palladium</t>
  </si>
  <si>
    <t>Me.pgm</t>
  </si>
  <si>
    <t>PGM</t>
  </si>
  <si>
    <t>Me.Pm</t>
  </si>
  <si>
    <t>Promethium</t>
  </si>
  <si>
    <t>Me.Pm2O3</t>
  </si>
  <si>
    <t>Promethium(III) oxide</t>
  </si>
  <si>
    <t>Me.Pr</t>
  </si>
  <si>
    <t>Praseodymium</t>
  </si>
  <si>
    <t>Me.Pr2O3</t>
  </si>
  <si>
    <t>Praseodymium(III) oxide</t>
  </si>
  <si>
    <t>Me.Pt</t>
  </si>
  <si>
    <t>Me.Rb</t>
  </si>
  <si>
    <t>Rubidium</t>
  </si>
  <si>
    <t>Me.Re</t>
  </si>
  <si>
    <t>Rhenium</t>
  </si>
  <si>
    <t>Me.reo</t>
  </si>
  <si>
    <t>Rare-earth oxides</t>
  </si>
  <si>
    <t>Me.Rh</t>
  </si>
  <si>
    <t>Rhodium</t>
  </si>
  <si>
    <t>Me.Ru</t>
  </si>
  <si>
    <t>Ruthenium</t>
  </si>
  <si>
    <t>Me.Sb</t>
  </si>
  <si>
    <t>Antimony</t>
  </si>
  <si>
    <t>Me.Sc</t>
  </si>
  <si>
    <t>Scandium</t>
  </si>
  <si>
    <t>Me.Sc2O3</t>
  </si>
  <si>
    <t>Scandium(III) oxide</t>
  </si>
  <si>
    <t>Me.Se</t>
  </si>
  <si>
    <t>Selenium</t>
  </si>
  <si>
    <t>Me.Si</t>
  </si>
  <si>
    <t>Silicon</t>
  </si>
  <si>
    <t>Me.Sm</t>
  </si>
  <si>
    <t>Samarium</t>
  </si>
  <si>
    <t>Me.Sm2O3</t>
  </si>
  <si>
    <t>Samarium(III) oxide</t>
  </si>
  <si>
    <t>Me.Sn</t>
  </si>
  <si>
    <t>Me.Sr</t>
  </si>
  <si>
    <t>Strontium</t>
  </si>
  <si>
    <t>Me.Ta</t>
  </si>
  <si>
    <t>Me.Ta2O5</t>
  </si>
  <si>
    <t>Tantalum pentoxide</t>
  </si>
  <si>
    <t>Me.Tb</t>
  </si>
  <si>
    <t>Terbium</t>
  </si>
  <si>
    <t>Me.Tb2O3</t>
  </si>
  <si>
    <t>Terbium(III) oxide</t>
  </si>
  <si>
    <t>Me.Te</t>
  </si>
  <si>
    <t>Tellurium</t>
  </si>
  <si>
    <t>Me.Th</t>
  </si>
  <si>
    <t>Thorium</t>
  </si>
  <si>
    <t>Me.Ti</t>
  </si>
  <si>
    <t>Titanium</t>
  </si>
  <si>
    <t>Me.TiO2</t>
  </si>
  <si>
    <t>Titanium dioxide</t>
  </si>
  <si>
    <t>Me.Tl</t>
  </si>
  <si>
    <t>Thallium</t>
  </si>
  <si>
    <t>Me.Tm</t>
  </si>
  <si>
    <t>Thulium</t>
  </si>
  <si>
    <t>Me.Tm2O3</t>
  </si>
  <si>
    <t>Thulium(III) oxide</t>
  </si>
  <si>
    <t>Me.U</t>
  </si>
  <si>
    <t>Uranium</t>
  </si>
  <si>
    <t>Me.U3O8</t>
  </si>
  <si>
    <t>Triuranium octoxide</t>
  </si>
  <si>
    <t>Me.V</t>
  </si>
  <si>
    <t>Vanadium</t>
  </si>
  <si>
    <t>Me.V2O5</t>
  </si>
  <si>
    <t>Vanadium pentoxide</t>
  </si>
  <si>
    <t>Me.W</t>
  </si>
  <si>
    <t>Me.WO3</t>
  </si>
  <si>
    <t>Tungsten trioxide</t>
  </si>
  <si>
    <t>Me.Y</t>
  </si>
  <si>
    <t>Yttrium</t>
  </si>
  <si>
    <t>Me.Y2O3</t>
  </si>
  <si>
    <t>Yttrium(III) oxide</t>
  </si>
  <si>
    <t>Me.Yb</t>
  </si>
  <si>
    <t>Ytterbium</t>
  </si>
  <si>
    <t>Me.Yb2O3</t>
  </si>
  <si>
    <t>Ytterbium(III) oxide</t>
  </si>
  <si>
    <t>Me.Zn</t>
  </si>
  <si>
    <t>Me.Zr</t>
  </si>
  <si>
    <t>Zirconium</t>
  </si>
  <si>
    <t>Nm.dia</t>
  </si>
  <si>
    <t>Diamonds (unspecified)</t>
  </si>
  <si>
    <t>Nm.dig</t>
  </si>
  <si>
    <t>Diamonds, gems</t>
  </si>
  <si>
    <t>Nm.dii</t>
  </si>
  <si>
    <t>Diamonds, industrial</t>
  </si>
  <si>
    <t>Nm.gem</t>
  </si>
  <si>
    <t>Gemstones n.e.c.</t>
  </si>
  <si>
    <t>Nm.H2SO4</t>
  </si>
  <si>
    <t>Sulphuric acid</t>
  </si>
  <si>
    <t>Nm.nep</t>
  </si>
  <si>
    <t>Nepheline</t>
  </si>
  <si>
    <t>Nm.P</t>
  </si>
  <si>
    <t>Phosphorus</t>
  </si>
  <si>
    <t>Nm.PO</t>
  </si>
  <si>
    <t>Phosphate and Phosphorus oxides</t>
  </si>
  <si>
    <t>A.3.4.1</t>
  </si>
  <si>
    <t>Nm.S</t>
  </si>
  <si>
    <t>Sulphur</t>
  </si>
  <si>
    <t>Nm.SiO2</t>
  </si>
  <si>
    <t>Nm.SO2</t>
  </si>
  <si>
    <t>Sulphur dioxide</t>
  </si>
  <si>
    <t>O.Ag</t>
  </si>
  <si>
    <t>Silver dominant ore</t>
  </si>
  <si>
    <t>O.Al</t>
  </si>
  <si>
    <t>Bauxite</t>
  </si>
  <si>
    <t>O.Au</t>
  </si>
  <si>
    <t>Gold dominant ore</t>
  </si>
  <si>
    <t>O.Be</t>
  </si>
  <si>
    <t>Beryl</t>
  </si>
  <si>
    <t>O.bulk</t>
  </si>
  <si>
    <t>Bulk metal ore</t>
  </si>
  <si>
    <t>O.CeLaPO4</t>
  </si>
  <si>
    <t>Monazite</t>
  </si>
  <si>
    <t>O.Co</t>
  </si>
  <si>
    <t>Cobalt ore</t>
  </si>
  <si>
    <t>O.Cr</t>
  </si>
  <si>
    <t>Chromium ore</t>
  </si>
  <si>
    <t>O.Cu</t>
  </si>
  <si>
    <t>Copper dominant ore</t>
  </si>
  <si>
    <t>O.dig</t>
  </si>
  <si>
    <t>Diamond ore, gems</t>
  </si>
  <si>
    <t>O.dii</t>
  </si>
  <si>
    <t>Diamond ore, industrial</t>
  </si>
  <si>
    <t>O.Fe</t>
  </si>
  <si>
    <t>Ferrous ore</t>
  </si>
  <si>
    <t>O.FeS</t>
  </si>
  <si>
    <t>Pyrite</t>
  </si>
  <si>
    <t>O.FeTiO3</t>
  </si>
  <si>
    <t>Ilmenite</t>
  </si>
  <si>
    <t>O.gem</t>
  </si>
  <si>
    <t>Gemstone-bearing mineral ore</t>
  </si>
  <si>
    <t>O.K2O</t>
  </si>
  <si>
    <t>Potash</t>
  </si>
  <si>
    <t>O.leu</t>
  </si>
  <si>
    <t>Leucoxene</t>
  </si>
  <si>
    <t>O.Li</t>
  </si>
  <si>
    <t>Lithium ore</t>
  </si>
  <si>
    <t>O.MgCO3</t>
  </si>
  <si>
    <t>O.Mn</t>
  </si>
  <si>
    <t>Manganese ore</t>
  </si>
  <si>
    <t>O.Mo</t>
  </si>
  <si>
    <t>Molybdenum ore</t>
  </si>
  <si>
    <t>O.Nb</t>
  </si>
  <si>
    <t>Columbite, niobium ore</t>
  </si>
  <si>
    <t>O.NbTa</t>
  </si>
  <si>
    <t>Coltan</t>
  </si>
  <si>
    <t>O.nep</t>
  </si>
  <si>
    <t>Nepheline syenite</t>
  </si>
  <si>
    <t>O.Ni</t>
  </si>
  <si>
    <t>Nickel dominant ore</t>
  </si>
  <si>
    <t>O.oxi</t>
  </si>
  <si>
    <t>Oxide ore</t>
  </si>
  <si>
    <t>O.P</t>
  </si>
  <si>
    <t>Phosphate rock</t>
  </si>
  <si>
    <t>O.Pb</t>
  </si>
  <si>
    <t>Lead dominant ore</t>
  </si>
  <si>
    <t>O.pgm</t>
  </si>
  <si>
    <t>Platinum-group metal ore</t>
  </si>
  <si>
    <t>O.rem</t>
  </si>
  <si>
    <t>Rare-earth mineral</t>
  </si>
  <si>
    <t>O.S</t>
  </si>
  <si>
    <t>Sulphur ore</t>
  </si>
  <si>
    <t>O.Sn</t>
  </si>
  <si>
    <t>Tin dominant ore</t>
  </si>
  <si>
    <t>O.Sr</t>
  </si>
  <si>
    <t>Strontium mineral</t>
  </si>
  <si>
    <t>O.sul</t>
  </si>
  <si>
    <t>Sulphide ore</t>
  </si>
  <si>
    <t>O.Ta</t>
  </si>
  <si>
    <t>Tantalite, tantalum ore</t>
  </si>
  <si>
    <t>O.Ti</t>
  </si>
  <si>
    <t>Titanium ore</t>
  </si>
  <si>
    <t>O.TiO2</t>
  </si>
  <si>
    <t>Rutile</t>
  </si>
  <si>
    <t>O.U</t>
  </si>
  <si>
    <t>Uranium ore</t>
  </si>
  <si>
    <t>O.W</t>
  </si>
  <si>
    <t>Tungsten ore</t>
  </si>
  <si>
    <t>O.Zn</t>
  </si>
  <si>
    <t>Zinc dominant ore</t>
  </si>
  <si>
    <t>O.Zr</t>
  </si>
  <si>
    <t>Zircon</t>
  </si>
  <si>
    <t>Oth.cuca</t>
  </si>
  <si>
    <t>Copper cathode</t>
  </si>
  <si>
    <t>Oth.cuce</t>
  </si>
  <si>
    <t>Copper cement</t>
  </si>
  <si>
    <t>Oth.pig</t>
  </si>
  <si>
    <t>Pig iron</t>
  </si>
  <si>
    <t>Oth.sif</t>
  </si>
  <si>
    <t>Sinter feed</t>
  </si>
  <si>
    <t>Oth.tis</t>
  </si>
  <si>
    <t>Titanium slag</t>
  </si>
  <si>
    <t>irp_ore</t>
  </si>
  <si>
    <t>ore_label</t>
  </si>
  <si>
    <t>ore</t>
  </si>
  <si>
    <t>associated_ore</t>
  </si>
  <si>
    <t>ccc</t>
  </si>
  <si>
    <t>TCCC.A.2.1.Fe</t>
  </si>
  <si>
    <t>Fe</t>
  </si>
  <si>
    <t>TCCC.A.2.2.Ag</t>
  </si>
  <si>
    <t>Ag</t>
  </si>
  <si>
    <t>TCCC.A.2.2.Au</t>
  </si>
  <si>
    <t>Au</t>
  </si>
  <si>
    <t>TCCC.A.2.2.Cr</t>
  </si>
  <si>
    <t>Cr</t>
  </si>
  <si>
    <t>TCCC.A.2.2.Cu</t>
  </si>
  <si>
    <t>Cu</t>
  </si>
  <si>
    <t>O.Hg</t>
  </si>
  <si>
    <t>TCCC.A.2.2.nec</t>
  </si>
  <si>
    <t>Hg</t>
  </si>
  <si>
    <t>O.Ir</t>
  </si>
  <si>
    <t>Ir</t>
  </si>
  <si>
    <t>O.K20</t>
  </si>
  <si>
    <t>AO.K20</t>
  </si>
  <si>
    <t>K20</t>
  </si>
  <si>
    <t>O.Li2O</t>
  </si>
  <si>
    <t>AO.Li2O</t>
  </si>
  <si>
    <t>Li2O</t>
  </si>
  <si>
    <t>TCCC.A.2.2.Mn</t>
  </si>
  <si>
    <t>Mn</t>
  </si>
  <si>
    <t>Mo</t>
  </si>
  <si>
    <t>Nb</t>
  </si>
  <si>
    <t>O.Bi</t>
  </si>
  <si>
    <t>Bi</t>
  </si>
  <si>
    <t>Co</t>
  </si>
  <si>
    <t>TCCC.A.2.2.Ni</t>
  </si>
  <si>
    <t>Ni</t>
  </si>
  <si>
    <t>O.Os</t>
  </si>
  <si>
    <t>Os</t>
  </si>
  <si>
    <t>TCCC.A.2.2.Pb</t>
  </si>
  <si>
    <t>Pb</t>
  </si>
  <si>
    <t>O.Pd</t>
  </si>
  <si>
    <t>TCCC.A.2.2.Pt</t>
  </si>
  <si>
    <t>Pd</t>
  </si>
  <si>
    <t>O.Pt</t>
  </si>
  <si>
    <t>Pt</t>
  </si>
  <si>
    <t>O.reo</t>
  </si>
  <si>
    <t>AO.reo</t>
  </si>
  <si>
    <t>reo</t>
  </si>
  <si>
    <t>O.Rh</t>
  </si>
  <si>
    <t>TCCC.A.2.2.Rh</t>
  </si>
  <si>
    <t>Rh</t>
  </si>
  <si>
    <t>O.Ru</t>
  </si>
  <si>
    <t>TCCC.A.2.2.Ru</t>
  </si>
  <si>
    <t>Ru</t>
  </si>
  <si>
    <t>O.Sb</t>
  </si>
  <si>
    <t>TCCC.A.2.2.Sb</t>
  </si>
  <si>
    <t>Sb</t>
  </si>
  <si>
    <t>TCCC.A.2.2.Sn</t>
  </si>
  <si>
    <t>Sn</t>
  </si>
  <si>
    <t>TCCC.A.2.2.Ta</t>
  </si>
  <si>
    <t>Ta</t>
  </si>
  <si>
    <t>O.Te</t>
  </si>
  <si>
    <t>TCCC.A.2.2.Te</t>
  </si>
  <si>
    <t>Te</t>
  </si>
  <si>
    <t>TCCC.A.2.2.Ti</t>
  </si>
  <si>
    <t>Ti</t>
  </si>
  <si>
    <t>TCCC.A.2.2.U</t>
  </si>
  <si>
    <t>U</t>
  </si>
  <si>
    <t>O.V</t>
  </si>
  <si>
    <t>TCCC.A.2.2.V</t>
  </si>
  <si>
    <t>V</t>
  </si>
  <si>
    <t>TCCC.A.2.2.W</t>
  </si>
  <si>
    <t>W</t>
  </si>
  <si>
    <t>TCCC.A.2.2.Zn</t>
  </si>
  <si>
    <t>Zn</t>
  </si>
  <si>
    <t>mfa_label</t>
  </si>
  <si>
    <t>MF228</t>
  </si>
  <si>
    <t>Ornamental or building stone</t>
  </si>
  <si>
    <t>Limestone and gypsum</t>
  </si>
  <si>
    <t>MF411</t>
  </si>
  <si>
    <t>MF412</t>
  </si>
  <si>
    <t>MF421</t>
  </si>
  <si>
    <t>MF422</t>
  </si>
  <si>
    <t>fao</t>
  </si>
  <si>
    <t>Unmanufactured tobacco</t>
  </si>
  <si>
    <t>Uranium and thorium ores</t>
  </si>
  <si>
    <t>MF</t>
  </si>
  <si>
    <t>Biomass</t>
  </si>
  <si>
    <t>Non-metallic minerals</t>
  </si>
  <si>
    <t>MF423</t>
  </si>
  <si>
    <t>Fuels bunkered (Imports: by resident units abroad); (Exports: by non-resident units domestically)</t>
  </si>
  <si>
    <t>MF4231</t>
  </si>
  <si>
    <t>Fuel for land transport</t>
  </si>
  <si>
    <t>MF4232</t>
  </si>
  <si>
    <t>Fuel for water transport</t>
  </si>
  <si>
    <t>MF4233</t>
  </si>
  <si>
    <t>Fuel for air transport</t>
  </si>
  <si>
    <t>05</t>
  </si>
  <si>
    <t>051</t>
  </si>
  <si>
    <t>052</t>
  </si>
  <si>
    <t>06</t>
  </si>
  <si>
    <t>061</t>
  </si>
  <si>
    <t>072</t>
  </si>
  <si>
    <t>09</t>
  </si>
  <si>
    <t>091</t>
  </si>
  <si>
    <t>104</t>
  </si>
  <si>
    <t>Vegetable and animal oils and fats</t>
  </si>
  <si>
    <t>Dairy products</t>
  </si>
  <si>
    <t>Other food products</t>
  </si>
  <si>
    <t>108</t>
  </si>
  <si>
    <t>11</t>
  </si>
  <si>
    <t>12</t>
  </si>
  <si>
    <t>120</t>
  </si>
  <si>
    <t>13</t>
  </si>
  <si>
    <t>14</t>
  </si>
  <si>
    <t>15</t>
  </si>
  <si>
    <t>Leather and related products</t>
  </si>
  <si>
    <t>152</t>
  </si>
  <si>
    <t>16</t>
  </si>
  <si>
    <t>Paper and paper products</t>
  </si>
  <si>
    <t>170</t>
  </si>
  <si>
    <t>18</t>
  </si>
  <si>
    <t>Coke and refined petroleum products</t>
  </si>
  <si>
    <t>191</t>
  </si>
  <si>
    <t>192</t>
  </si>
  <si>
    <t>Refined petroleum products</t>
  </si>
  <si>
    <t>Chemicals and chemical products</t>
  </si>
  <si>
    <t>Other chemical products</t>
  </si>
  <si>
    <t>Pesticides and other agrochemical products</t>
  </si>
  <si>
    <t>203</t>
  </si>
  <si>
    <t>21</t>
  </si>
  <si>
    <t>Rubber products</t>
  </si>
  <si>
    <t>222</t>
  </si>
  <si>
    <t>23</t>
  </si>
  <si>
    <t>Other non-metallic mineral products</t>
  </si>
  <si>
    <t>231</t>
  </si>
  <si>
    <t>Glass and glass products</t>
  </si>
  <si>
    <t>Clay building materials</t>
  </si>
  <si>
    <t>Other porcelain and ceramic products</t>
  </si>
  <si>
    <t>Cement, lime and plaster</t>
  </si>
  <si>
    <t>Articles of concrete, cement and plaster</t>
  </si>
  <si>
    <t>Basic metals</t>
  </si>
  <si>
    <t>242</t>
  </si>
  <si>
    <t>Structural metal products</t>
  </si>
  <si>
    <t>Tanks, reservoirs and containers of metal</t>
  </si>
  <si>
    <t>26</t>
  </si>
  <si>
    <t>Computer, electronic and optical products</t>
  </si>
  <si>
    <t>262</t>
  </si>
  <si>
    <t>268</t>
  </si>
  <si>
    <t>27</t>
  </si>
  <si>
    <t>275</t>
  </si>
  <si>
    <t>28</t>
  </si>
  <si>
    <t>Machinery and equipment n.e.c.</t>
  </si>
  <si>
    <t>29</t>
  </si>
  <si>
    <t>Motor vehicles, trailers and semi-trailers</t>
  </si>
  <si>
    <t>Other transport equipment</t>
  </si>
  <si>
    <t>Railway locomotives and rolling stock</t>
  </si>
  <si>
    <t>Air and spacecraft and related machinery</t>
  </si>
  <si>
    <t>304</t>
  </si>
  <si>
    <t>31</t>
  </si>
  <si>
    <t>Jewellery, bijouterie and related articles</t>
  </si>
  <si>
    <t>Games and toys</t>
  </si>
  <si>
    <t>Medical and dental instruments and supplies</t>
  </si>
  <si>
    <t>33</t>
  </si>
  <si>
    <t>332</t>
  </si>
  <si>
    <t>352</t>
  </si>
  <si>
    <t>36</t>
  </si>
  <si>
    <t>360</t>
  </si>
  <si>
    <t>B</t>
  </si>
  <si>
    <t>Mining and quarrying</t>
  </si>
  <si>
    <t>BA</t>
  </si>
  <si>
    <t>BB</t>
  </si>
  <si>
    <t>C</t>
  </si>
  <si>
    <t>D</t>
  </si>
  <si>
    <t>E</t>
  </si>
  <si>
    <t>last update: 10.12.2025 (inclusion of column for BGS data)</t>
  </si>
  <si>
    <t>iso2</t>
  </si>
  <si>
    <t>iso3</t>
  </si>
  <si>
    <t>name_short</t>
  </si>
  <si>
    <t>prodcom</t>
  </si>
  <si>
    <t>wmd</t>
  </si>
  <si>
    <t>bgs</t>
  </si>
  <si>
    <t>iea</t>
  </si>
  <si>
    <t>unido</t>
  </si>
  <si>
    <t>baci</t>
  </si>
  <si>
    <t>eu</t>
  </si>
  <si>
    <t>2r</t>
  </si>
  <si>
    <t>eu_iciot</t>
  </si>
  <si>
    <t>icio</t>
  </si>
  <si>
    <t>non_eu</t>
  </si>
  <si>
    <t>2r_trade</t>
  </si>
  <si>
    <t>regex</t>
  </si>
  <si>
    <t>China, Mainland</t>
  </si>
  <si>
    <t>Ethiopia PDR (historic)</t>
  </si>
  <si>
    <t>Africa</t>
  </si>
  <si>
    <t>Eastern Africa</t>
  </si>
  <si>
    <t>Middle Africa</t>
  </si>
  <si>
    <t>Northern Africa</t>
  </si>
  <si>
    <t>Southern Africa</t>
  </si>
  <si>
    <t>Western Africa</t>
  </si>
  <si>
    <t>Americas</t>
  </si>
  <si>
    <t>North America</t>
  </si>
  <si>
    <t>Central America</t>
  </si>
  <si>
    <t>Caribbean</t>
  </si>
  <si>
    <t>South America</t>
  </si>
  <si>
    <t>Asia</t>
  </si>
  <si>
    <t>Central Asia</t>
  </si>
  <si>
    <t>Eastern Asia</t>
  </si>
  <si>
    <t>Southern Asia</t>
  </si>
  <si>
    <t>South-eastern Asia</t>
  </si>
  <si>
    <t>Western Asia</t>
  </si>
  <si>
    <t>Europe</t>
  </si>
  <si>
    <t>Eastern Europe</t>
  </si>
  <si>
    <t>Northern Europe</t>
  </si>
  <si>
    <t>Southern Europe</t>
  </si>
  <si>
    <t>Western Europe</t>
  </si>
  <si>
    <t>Oceania</t>
  </si>
  <si>
    <t>Australia and New Zealand</t>
  </si>
  <si>
    <t>Melanesia</t>
  </si>
  <si>
    <t>Micronesia</t>
  </si>
  <si>
    <t>Polynesia</t>
  </si>
  <si>
    <t>Least Developed Countries</t>
  </si>
  <si>
    <t>Land Locked Developing Countries</t>
  </si>
  <si>
    <t>Small Island Developing States</t>
  </si>
  <si>
    <t>Low Income Food Deficit Countries</t>
  </si>
  <si>
    <t>Net Food Importing Developing Countries</t>
  </si>
  <si>
    <t>AD</t>
  </si>
  <si>
    <t>AND</t>
  </si>
  <si>
    <t>Andorra</t>
  </si>
  <si>
    <t>RoW</t>
  </si>
  <si>
    <t>WX</t>
  </si>
  <si>
    <t>_e</t>
  </si>
  <si>
    <t>andorra</t>
  </si>
  <si>
    <t>AE</t>
  </si>
  <si>
    <t>ARE</t>
  </si>
  <si>
    <t>United Arab Emirates</t>
  </si>
  <si>
    <t>784</t>
  </si>
  <si>
    <t>emirates|^u\.?a\.?e\.?$|united.?arab.?em</t>
  </si>
  <si>
    <t>AF</t>
  </si>
  <si>
    <t>AFG</t>
  </si>
  <si>
    <t>Afghanistan</t>
  </si>
  <si>
    <t>004</t>
  </si>
  <si>
    <t>afghan</t>
  </si>
  <si>
    <t>AFR_OTH</t>
  </si>
  <si>
    <t>Other Africa</t>
  </si>
  <si>
    <t>AG</t>
  </si>
  <si>
    <t>ATG</t>
  </si>
  <si>
    <t>Antigua and Barbuda</t>
  </si>
  <si>
    <t>028</t>
  </si>
  <si>
    <t>antigua</t>
  </si>
  <si>
    <t>AI</t>
  </si>
  <si>
    <t>AIA</t>
  </si>
  <si>
    <t>Anguilla</t>
  </si>
  <si>
    <t>anguill?a</t>
  </si>
  <si>
    <t>AL</t>
  </si>
  <si>
    <t>ALB</t>
  </si>
  <si>
    <t>Albania</t>
  </si>
  <si>
    <t>070</t>
  </si>
  <si>
    <t>008</t>
  </si>
  <si>
    <t>albania</t>
  </si>
  <si>
    <t>AM</t>
  </si>
  <si>
    <t>ARM</t>
  </si>
  <si>
    <t>Armenia</t>
  </si>
  <si>
    <t>armenia</t>
  </si>
  <si>
    <t>AME_OTH</t>
  </si>
  <si>
    <t>Other Americas</t>
  </si>
  <si>
    <t>AN</t>
  </si>
  <si>
    <t>ANT</t>
  </si>
  <si>
    <t>Netherlands Antilles</t>
  </si>
  <si>
    <t>antilles</t>
  </si>
  <si>
    <t>AO</t>
  </si>
  <si>
    <t>AGO</t>
  </si>
  <si>
    <t>Angola</t>
  </si>
  <si>
    <t>024</t>
  </si>
  <si>
    <t>angola</t>
  </si>
  <si>
    <t>AQ</t>
  </si>
  <si>
    <t>ATA</t>
  </si>
  <si>
    <t>Antarctica</t>
  </si>
  <si>
    <t>antarctica</t>
  </si>
  <si>
    <t>AR</t>
  </si>
  <si>
    <t>ARG</t>
  </si>
  <si>
    <t>Argentina</t>
  </si>
  <si>
    <t>032</t>
  </si>
  <si>
    <t>argentin</t>
  </si>
  <si>
    <t>AS</t>
  </si>
  <si>
    <t>ASM</t>
  </si>
  <si>
    <t>American Samoa</t>
  </si>
  <si>
    <t>^(?=.*americ).*samoa</t>
  </si>
  <si>
    <t>ASI_NME_OTH</t>
  </si>
  <si>
    <t>Other Asia</t>
  </si>
  <si>
    <t>ASI_OTH</t>
  </si>
  <si>
    <t>AT</t>
  </si>
  <si>
    <t>AUT</t>
  </si>
  <si>
    <t>Austria</t>
  </si>
  <si>
    <t>038</t>
  </si>
  <si>
    <t>040</t>
  </si>
  <si>
    <t>EU27</t>
  </si>
  <si>
    <t>_i</t>
  </si>
  <si>
    <t>austria</t>
  </si>
  <si>
    <t>AU</t>
  </si>
  <si>
    <t>AUS</t>
  </si>
  <si>
    <t>Australia</t>
  </si>
  <si>
    <t>036</t>
  </si>
  <si>
    <t>australia</t>
  </si>
  <si>
    <t>AW</t>
  </si>
  <si>
    <t>ABW</t>
  </si>
  <si>
    <t>Aruba</t>
  </si>
  <si>
    <t>^(?!.*bonaire).*\baruba</t>
  </si>
  <si>
    <t>AX</t>
  </si>
  <si>
    <t>ALA</t>
  </si>
  <si>
    <t>Aland Islands</t>
  </si>
  <si>
    <t>FI</t>
  </si>
  <si>
    <t>\b(a|å)land</t>
  </si>
  <si>
    <t>AZ</t>
  </si>
  <si>
    <t>AZE</t>
  </si>
  <si>
    <t>Azerbaijan</t>
  </si>
  <si>
    <t>031</t>
  </si>
  <si>
    <t>azerbaijan</t>
  </si>
  <si>
    <t>BIH</t>
  </si>
  <si>
    <t>Bosnia and Herzegovina</t>
  </si>
  <si>
    <t>093</t>
  </si>
  <si>
    <t>Bosnia-Herzegovina</t>
  </si>
  <si>
    <t>Bosnia &amp; Herzegovina</t>
  </si>
  <si>
    <t>herzegovina|bosnia</t>
  </si>
  <si>
    <t>BRB</t>
  </si>
  <si>
    <t>Barbados</t>
  </si>
  <si>
    <t>barbados</t>
  </si>
  <si>
    <t>BD</t>
  </si>
  <si>
    <t>BGD</t>
  </si>
  <si>
    <t>Bangladesh</t>
  </si>
  <si>
    <t>050</t>
  </si>
  <si>
    <t>bangladesh|^(?=.*east).*paki?stan</t>
  </si>
  <si>
    <t>BE</t>
  </si>
  <si>
    <t>BEL</t>
  </si>
  <si>
    <t>Belgium</t>
  </si>
  <si>
    <t>017</t>
  </si>
  <si>
    <t>056</t>
  </si>
  <si>
    <t>^(?!.*luxem).*belgium</t>
  </si>
  <si>
    <t>BF</t>
  </si>
  <si>
    <t>BFA</t>
  </si>
  <si>
    <t>Burkina Faso</t>
  </si>
  <si>
    <t>854</t>
  </si>
  <si>
    <t>burkina|\bfaso|upper.?volta</t>
  </si>
  <si>
    <t>BG</t>
  </si>
  <si>
    <t>BGR</t>
  </si>
  <si>
    <t>Bulgaria</t>
  </si>
  <si>
    <t>068</t>
  </si>
  <si>
    <t>100</t>
  </si>
  <si>
    <t>bulgaria</t>
  </si>
  <si>
    <t>BH</t>
  </si>
  <si>
    <t>BHR</t>
  </si>
  <si>
    <t>Bahrain</t>
  </si>
  <si>
    <t>048</t>
  </si>
  <si>
    <t>bahrain</t>
  </si>
  <si>
    <t>BI</t>
  </si>
  <si>
    <t>BDI</t>
  </si>
  <si>
    <t>Burundi</t>
  </si>
  <si>
    <t>burundi</t>
  </si>
  <si>
    <t>BJ</t>
  </si>
  <si>
    <t>BEN</t>
  </si>
  <si>
    <t>Benin</t>
  </si>
  <si>
    <t>204</t>
  </si>
  <si>
    <t>benin|dahome</t>
  </si>
  <si>
    <t>BL</t>
  </si>
  <si>
    <t>BLM</t>
  </si>
  <si>
    <t>St. Barths</t>
  </si>
  <si>
    <t>barth|barts</t>
  </si>
  <si>
    <t>BLG</t>
  </si>
  <si>
    <t>Belgium-Luxemburg (historic)</t>
  </si>
  <si>
    <t>BM</t>
  </si>
  <si>
    <t>BMU</t>
  </si>
  <si>
    <t>Bermuda</t>
  </si>
  <si>
    <t>060</t>
  </si>
  <si>
    <t>bermuda</t>
  </si>
  <si>
    <t>BN</t>
  </si>
  <si>
    <t>BRN</t>
  </si>
  <si>
    <t>Brunei Darussalam</t>
  </si>
  <si>
    <t>Brunei</t>
  </si>
  <si>
    <t>096</t>
  </si>
  <si>
    <t>brunei</t>
  </si>
  <si>
    <t>BO</t>
  </si>
  <si>
    <t>BOL</t>
  </si>
  <si>
    <t>Bolivia</t>
  </si>
  <si>
    <t>bolivia</t>
  </si>
  <si>
    <t>BQ</t>
  </si>
  <si>
    <t>BES</t>
  </si>
  <si>
    <t>Bonaire, Saint Eustatius and Saba</t>
  </si>
  <si>
    <t>^(?=.*bonaire).*eustatius|^(?=.*carib).*netherlands|\bbes.?islands</t>
  </si>
  <si>
    <t>BQ_old</t>
  </si>
  <si>
    <t>British Antarctic Territory</t>
  </si>
  <si>
    <t>BR</t>
  </si>
  <si>
    <t>BRA</t>
  </si>
  <si>
    <t>Brazil</t>
  </si>
  <si>
    <t>076</t>
  </si>
  <si>
    <t>brazil</t>
  </si>
  <si>
    <t>BS</t>
  </si>
  <si>
    <t>BHS</t>
  </si>
  <si>
    <t>Bahamas</t>
  </si>
  <si>
    <t>044</t>
  </si>
  <si>
    <t>bahamas</t>
  </si>
  <si>
    <t>BT</t>
  </si>
  <si>
    <t>BTN</t>
  </si>
  <si>
    <t>Bhutan</t>
  </si>
  <si>
    <t>064</t>
  </si>
  <si>
    <t>bhutan</t>
  </si>
  <si>
    <t>BUNA</t>
  </si>
  <si>
    <t>World aviation bunkers</t>
  </si>
  <si>
    <t>BUNM</t>
  </si>
  <si>
    <t>World marine bunkers</t>
  </si>
  <si>
    <t>BV</t>
  </si>
  <si>
    <t>BVT</t>
  </si>
  <si>
    <t>Bouvet Island</t>
  </si>
  <si>
    <t>bouvet</t>
  </si>
  <si>
    <t>BW</t>
  </si>
  <si>
    <t>BWA</t>
  </si>
  <si>
    <t>Botswana</t>
  </si>
  <si>
    <t>botswana|bechuana</t>
  </si>
  <si>
    <t>BY</t>
  </si>
  <si>
    <t>BLR</t>
  </si>
  <si>
    <t>Belarus</t>
  </si>
  <si>
    <t>112</t>
  </si>
  <si>
    <t>belarus|byelo</t>
  </si>
  <si>
    <t>BZ</t>
  </si>
  <si>
    <t>BLZ</t>
  </si>
  <si>
    <t>Belize</t>
  </si>
  <si>
    <t>084</t>
  </si>
  <si>
    <t>belize|^(?=.*british).*honduras</t>
  </si>
  <si>
    <t>CA</t>
  </si>
  <si>
    <t>CAN</t>
  </si>
  <si>
    <t>Canada</t>
  </si>
  <si>
    <t>124</t>
  </si>
  <si>
    <t>canada</t>
  </si>
  <si>
    <t>CC</t>
  </si>
  <si>
    <t>CCK</t>
  </si>
  <si>
    <t>Cocos (Keeling) Islands</t>
  </si>
  <si>
    <t>\bcocos|keeling</t>
  </si>
  <si>
    <t>CD</t>
  </si>
  <si>
    <t>COD</t>
  </si>
  <si>
    <t>DR Congo</t>
  </si>
  <si>
    <t>Congo, D.R.</t>
  </si>
  <si>
    <t>Congo, Democratic Republic</t>
  </si>
  <si>
    <t>\bdem.*congo|congo.*\bdem|congo.*\bdr|\bdr.*congo|\bd\.?r\.?c|\bd\.?r\.?o\.?c|\br\.?d\.?c|belgian.?congo|congo.?free.?state|kinshasa|zaire|l\w{1,2}opoldville|^the\ congo$|^RDC$|^DROC$|\bcongo.*dem.*</t>
  </si>
  <si>
    <t>CF</t>
  </si>
  <si>
    <t>CAF</t>
  </si>
  <si>
    <t>Central African Republic</t>
  </si>
  <si>
    <t>central.?african.?rep.*</t>
  </si>
  <si>
    <t>CG</t>
  </si>
  <si>
    <t>COG</t>
  </si>
  <si>
    <t>Congo Republic</t>
  </si>
  <si>
    <t>Congo, Rep.</t>
  </si>
  <si>
    <t>Congo</t>
  </si>
  <si>
    <t>178</t>
  </si>
  <si>
    <t>^(?!.*\bdem)(?!.*\bdr)(?!.*kinshasa)(?!.*zaire)(?!.*belg)(?!.*l\w{1,2}opoldville)(?!.*free)(^rep.*).*\bcongo.*(?!.*\bdem)(?!.*\bdr).*|\bwest.*congo|^congo[,;\s]*(?!.*dem)rep.*?$|^congo$|\bcongo.*brazza.*</t>
  </si>
  <si>
    <t>CH</t>
  </si>
  <si>
    <t>CHE</t>
  </si>
  <si>
    <t>Switzerland</t>
  </si>
  <si>
    <t>756</t>
  </si>
  <si>
    <t>switz|swiss</t>
  </si>
  <si>
    <t>CI</t>
  </si>
  <si>
    <t>CIV</t>
  </si>
  <si>
    <t>Cote d'Ivoire</t>
  </si>
  <si>
    <t>384</t>
  </si>
  <si>
    <t>.*(ivoire|ivory)</t>
  </si>
  <si>
    <t>CK</t>
  </si>
  <si>
    <t>COK</t>
  </si>
  <si>
    <t>Cook Islands</t>
  </si>
  <si>
    <t>\bcook</t>
  </si>
  <si>
    <t>CL</t>
  </si>
  <si>
    <t>CHL</t>
  </si>
  <si>
    <t>Chile</t>
  </si>
  <si>
    <t>\bchile</t>
  </si>
  <si>
    <t>CM</t>
  </si>
  <si>
    <t>CMR</t>
  </si>
  <si>
    <t>Cameroon</t>
  </si>
  <si>
    <t>cameroon</t>
  </si>
  <si>
    <t>CN</t>
  </si>
  <si>
    <t>CHN</t>
  </si>
  <si>
    <t>China</t>
  </si>
  <si>
    <t>China, People's Republic of</t>
  </si>
  <si>
    <t>156</t>
  </si>
  <si>
    <t>^(?!repub)(?!taiwan)(?!hong.*kong)(?!macao).*china(?!.*hong.*kong)(?!.*macao)|^PRC$</t>
  </si>
  <si>
    <t>CO</t>
  </si>
  <si>
    <t>COL</t>
  </si>
  <si>
    <t>Colombia</t>
  </si>
  <si>
    <t>colombia</t>
  </si>
  <si>
    <t>CR</t>
  </si>
  <si>
    <t>CRI</t>
  </si>
  <si>
    <t>Costa Rica</t>
  </si>
  <si>
    <t>188</t>
  </si>
  <si>
    <t>costa.?rica</t>
  </si>
  <si>
    <t>CSK</t>
  </si>
  <si>
    <t>Czechslovakia (historic)</t>
  </si>
  <si>
    <t>Czechoslovakia</t>
  </si>
  <si>
    <t>CU</t>
  </si>
  <si>
    <t>CUB</t>
  </si>
  <si>
    <t>Cuba</t>
  </si>
  <si>
    <t>\bcuba</t>
  </si>
  <si>
    <t>CV</t>
  </si>
  <si>
    <t>CPV</t>
  </si>
  <si>
    <t>Cabo Verde</t>
  </si>
  <si>
    <t>Cape Verde</t>
  </si>
  <si>
    <t>132</t>
  </si>
  <si>
    <t>(cabo|cape) *verde</t>
  </si>
  <si>
    <t>CW</t>
  </si>
  <si>
    <t>CUW</t>
  </si>
  <si>
    <t>Curacao</t>
  </si>
  <si>
    <t>531</t>
  </si>
  <si>
    <t>\bcura(c|ç)ao</t>
  </si>
  <si>
    <t>CX</t>
  </si>
  <si>
    <t>CXR</t>
  </si>
  <si>
    <t>Christmas Island</t>
  </si>
  <si>
    <t>christmas</t>
  </si>
  <si>
    <t>CY</t>
  </si>
  <si>
    <t>CYP</t>
  </si>
  <si>
    <t>Cyprus</t>
  </si>
  <si>
    <t>600</t>
  </si>
  <si>
    <t>196</t>
  </si>
  <si>
    <t>cyprus</t>
  </si>
  <si>
    <t>CZ</t>
  </si>
  <si>
    <t>CZE</t>
  </si>
  <si>
    <t>Czech Republic</t>
  </si>
  <si>
    <t>Czechia</t>
  </si>
  <si>
    <t>^(?=.*rep).*czech.*|czechia|bohemia|.*czech.*</t>
  </si>
  <si>
    <t>DDR</t>
  </si>
  <si>
    <t>German Democratic Republic (historic)</t>
  </si>
  <si>
    <t>German Dem. Rep</t>
  </si>
  <si>
    <t>DE</t>
  </si>
  <si>
    <t>DEU</t>
  </si>
  <si>
    <t>Germany</t>
  </si>
  <si>
    <t>276</t>
  </si>
  <si>
    <t>^(?!e|w)(fed)?.*germany(?!,? *e|,? *w)(,? *)(\bfed)?</t>
  </si>
  <si>
    <t>DJ</t>
  </si>
  <si>
    <t>DJI</t>
  </si>
  <si>
    <t>Djibouti</t>
  </si>
  <si>
    <t>djibouti</t>
  </si>
  <si>
    <t>DK</t>
  </si>
  <si>
    <t>DNK</t>
  </si>
  <si>
    <t>Denmark</t>
  </si>
  <si>
    <t>208</t>
  </si>
  <si>
    <t>denmark</t>
  </si>
  <si>
    <t>DM</t>
  </si>
  <si>
    <t>DMA</t>
  </si>
  <si>
    <t>Dominica</t>
  </si>
  <si>
    <t>dominica(?!n)</t>
  </si>
  <si>
    <t>DO</t>
  </si>
  <si>
    <t>DOM</t>
  </si>
  <si>
    <t>Dominican Republic</t>
  </si>
  <si>
    <t>214</t>
  </si>
  <si>
    <t>dominican</t>
  </si>
  <si>
    <t>DZ</t>
  </si>
  <si>
    <t>DZA</t>
  </si>
  <si>
    <t>Algeria</t>
  </si>
  <si>
    <t>012</t>
  </si>
  <si>
    <t>algeria</t>
  </si>
  <si>
    <t>EAZ</t>
  </si>
  <si>
    <t>Zanzibar (historic)</t>
  </si>
  <si>
    <t>EC</t>
  </si>
  <si>
    <t>ECU</t>
  </si>
  <si>
    <t>Ecuador</t>
  </si>
  <si>
    <t>218</t>
  </si>
  <si>
    <t>ecuador</t>
  </si>
  <si>
    <t>EE</t>
  </si>
  <si>
    <t>EST</t>
  </si>
  <si>
    <t>Estonia</t>
  </si>
  <si>
    <t>053</t>
  </si>
  <si>
    <t>233</t>
  </si>
  <si>
    <t>estonia</t>
  </si>
  <si>
    <t>EG</t>
  </si>
  <si>
    <t>EGY</t>
  </si>
  <si>
    <t>Egypt</t>
  </si>
  <si>
    <t>818</t>
  </si>
  <si>
    <t>egypt</t>
  </si>
  <si>
    <t>EH</t>
  </si>
  <si>
    <t>ESH</t>
  </si>
  <si>
    <t>Western Sahara</t>
  </si>
  <si>
    <t>\bw.*sahara</t>
  </si>
  <si>
    <t>EL</t>
  </si>
  <si>
    <t>ER</t>
  </si>
  <si>
    <t>ERI</t>
  </si>
  <si>
    <t>Eritrea</t>
  </si>
  <si>
    <t>232</t>
  </si>
  <si>
    <t>eritrea</t>
  </si>
  <si>
    <t>ES</t>
  </si>
  <si>
    <t>ESP</t>
  </si>
  <si>
    <t>Spain</t>
  </si>
  <si>
    <t>011</t>
  </si>
  <si>
    <t>724</t>
  </si>
  <si>
    <t>spain</t>
  </si>
  <si>
    <t>ET</t>
  </si>
  <si>
    <t>ETH</t>
  </si>
  <si>
    <t>Ethiopia</t>
  </si>
  <si>
    <t>ethiopia|abyssinia</t>
  </si>
  <si>
    <t>EU15</t>
  </si>
  <si>
    <t>1110</t>
  </si>
  <si>
    <t>EU25</t>
  </si>
  <si>
    <t>1112</t>
  </si>
  <si>
    <t>2027</t>
  </si>
  <si>
    <t>European Union (27)</t>
  </si>
  <si>
    <t>EU27_check</t>
  </si>
  <si>
    <t>EU28</t>
  </si>
  <si>
    <t>2028</t>
  </si>
  <si>
    <t>European Union (28)</t>
  </si>
  <si>
    <t>EUR_OTH</t>
  </si>
  <si>
    <t>EX_SU_OTH</t>
  </si>
  <si>
    <t>FIN</t>
  </si>
  <si>
    <t>Finland</t>
  </si>
  <si>
    <t>246</t>
  </si>
  <si>
    <t>finland</t>
  </si>
  <si>
    <t>FIGW1</t>
  </si>
  <si>
    <t>Rest of the world</t>
  </si>
  <si>
    <t>FJ</t>
  </si>
  <si>
    <t>FJI</t>
  </si>
  <si>
    <t>Fiji</t>
  </si>
  <si>
    <t>fiji</t>
  </si>
  <si>
    <t>FK</t>
  </si>
  <si>
    <t>FLK</t>
  </si>
  <si>
    <t>Falkland Islands</t>
  </si>
  <si>
    <t>falkland|malvinas</t>
  </si>
  <si>
    <t>FM</t>
  </si>
  <si>
    <t>FSM</t>
  </si>
  <si>
    <t>Micronesia, Fed. Sts.</t>
  </si>
  <si>
    <t>micronesia</t>
  </si>
  <si>
    <t>FO</t>
  </si>
  <si>
    <t>FRO</t>
  </si>
  <si>
    <t>Faeroe Islands</t>
  </si>
  <si>
    <t>faroe|faeroe</t>
  </si>
  <si>
    <t>FR</t>
  </si>
  <si>
    <t>FRA</t>
  </si>
  <si>
    <t>France</t>
  </si>
  <si>
    <t>001</t>
  </si>
  <si>
    <t>250</t>
  </si>
  <si>
    <t>^(?!.*\bdep).*france|french.?republic|\bgaul</t>
  </si>
  <si>
    <t>GA</t>
  </si>
  <si>
    <t>GAB</t>
  </si>
  <si>
    <t>Gabon</t>
  </si>
  <si>
    <t>gabon</t>
  </si>
  <si>
    <t>GB</t>
  </si>
  <si>
    <t>GBR</t>
  </si>
  <si>
    <t>United Kingdom</t>
  </si>
  <si>
    <t>006</t>
  </si>
  <si>
    <t>826</t>
  </si>
  <si>
    <t>UK</t>
  </si>
  <si>
    <t>.*(united.?kingdom|britain|^u\.?k\.?$|GB)</t>
  </si>
  <si>
    <t>GD</t>
  </si>
  <si>
    <t>GRD</t>
  </si>
  <si>
    <t>Grenada</t>
  </si>
  <si>
    <t>grenada</t>
  </si>
  <si>
    <t>GE</t>
  </si>
  <si>
    <t>GEO</t>
  </si>
  <si>
    <t>Georgia</t>
  </si>
  <si>
    <t>^(?!.*south).*georgia</t>
  </si>
  <si>
    <t>GF</t>
  </si>
  <si>
    <t>GUF</t>
  </si>
  <si>
    <t>French Guiana</t>
  </si>
  <si>
    <t>^(?=.*french).*guiana|guiana</t>
  </si>
  <si>
    <t>GG</t>
  </si>
  <si>
    <t>GGY</t>
  </si>
  <si>
    <t>Guernsey</t>
  </si>
  <si>
    <t>guernsey</t>
  </si>
  <si>
    <t>GH</t>
  </si>
  <si>
    <t>GHA</t>
  </si>
  <si>
    <t>Ghana</t>
  </si>
  <si>
    <t>288</t>
  </si>
  <si>
    <t>ghana|gold.?coast</t>
  </si>
  <si>
    <t>GI</t>
  </si>
  <si>
    <t>GIB</t>
  </si>
  <si>
    <t>Gibraltar</t>
  </si>
  <si>
    <t>gibraltar</t>
  </si>
  <si>
    <t>GL</t>
  </si>
  <si>
    <t>GRL</t>
  </si>
  <si>
    <t>Greenland</t>
  </si>
  <si>
    <t>greenland</t>
  </si>
  <si>
    <t>GM</t>
  </si>
  <si>
    <t>GMB</t>
  </si>
  <si>
    <t>Gambia</t>
  </si>
  <si>
    <t>270</t>
  </si>
  <si>
    <t>gambia</t>
  </si>
  <si>
    <t>GN</t>
  </si>
  <si>
    <t>GIN</t>
  </si>
  <si>
    <t>Guinea</t>
  </si>
  <si>
    <t>^(?!.*eq)(?!.*span)(?!.*bissau)(?!.*portu)(?!.*new).*guinea</t>
  </si>
  <si>
    <t>GP</t>
  </si>
  <si>
    <t>GLP</t>
  </si>
  <si>
    <t>Guadeloupe</t>
  </si>
  <si>
    <t>guadeloupe</t>
  </si>
  <si>
    <t>GQ</t>
  </si>
  <si>
    <t>GNQ</t>
  </si>
  <si>
    <t>Equatorial Guinea</t>
  </si>
  <si>
    <t>226</t>
  </si>
  <si>
    <t>guine.*eq|eq.*guine|^(?=.*span).*guinea</t>
  </si>
  <si>
    <t>GR</t>
  </si>
  <si>
    <t>GRC</t>
  </si>
  <si>
    <t>Greece</t>
  </si>
  <si>
    <t>009</t>
  </si>
  <si>
    <t>300</t>
  </si>
  <si>
    <t>greece|hellenic|hellas</t>
  </si>
  <si>
    <t>GS</t>
  </si>
  <si>
    <t>SGS</t>
  </si>
  <si>
    <t>South Georgia and South Sandwich Is.</t>
  </si>
  <si>
    <t>south.?georgia|sandwich</t>
  </si>
  <si>
    <t>GT</t>
  </si>
  <si>
    <t>GTM</t>
  </si>
  <si>
    <t>Guatemala</t>
  </si>
  <si>
    <t>320</t>
  </si>
  <si>
    <t>guatemala</t>
  </si>
  <si>
    <t>GU</t>
  </si>
  <si>
    <t>GUM</t>
  </si>
  <si>
    <t>Guam</t>
  </si>
  <si>
    <t>\bguam</t>
  </si>
  <si>
    <t>GW</t>
  </si>
  <si>
    <t>GNB</t>
  </si>
  <si>
    <t>Guinea-Bissau</t>
  </si>
  <si>
    <t>624</t>
  </si>
  <si>
    <t>^(.*portu).*guinea|guinea.*bissau</t>
  </si>
  <si>
    <t>GY</t>
  </si>
  <si>
    <t>GUY</t>
  </si>
  <si>
    <t>Guyana</t>
  </si>
  <si>
    <t>328</t>
  </si>
  <si>
    <t>guyana|british.?guiana</t>
  </si>
  <si>
    <t>HK</t>
  </si>
  <si>
    <t>HKG</t>
  </si>
  <si>
    <t>Hong Kong</t>
  </si>
  <si>
    <t>344</t>
  </si>
  <si>
    <t>.*hong.*kong</t>
  </si>
  <si>
    <t>HM</t>
  </si>
  <si>
    <t>HMD</t>
  </si>
  <si>
    <t>Heard and McDonald Islands</t>
  </si>
  <si>
    <t>heard.*mc.*donald</t>
  </si>
  <si>
    <t>HN</t>
  </si>
  <si>
    <t>HND</t>
  </si>
  <si>
    <t>Honduras</t>
  </si>
  <si>
    <t>340</t>
  </si>
  <si>
    <t>^(?!.*brit).*honduras</t>
  </si>
  <si>
    <t>HR</t>
  </si>
  <si>
    <t>HRV</t>
  </si>
  <si>
    <t>Croatia</t>
  </si>
  <si>
    <t>092</t>
  </si>
  <si>
    <t>croatia|hrvatska</t>
  </si>
  <si>
    <t>HT</t>
  </si>
  <si>
    <t>HTI</t>
  </si>
  <si>
    <t>Haiti</t>
  </si>
  <si>
    <t>(ha(i|\xef|\xc3\xaf)ti)</t>
  </si>
  <si>
    <t>HU</t>
  </si>
  <si>
    <t>HUN</t>
  </si>
  <si>
    <t>Hungary</t>
  </si>
  <si>
    <t>348</t>
  </si>
  <si>
    <t>hungary</t>
  </si>
  <si>
    <t>ID</t>
  </si>
  <si>
    <t>IDN</t>
  </si>
  <si>
    <t>Indonesia</t>
  </si>
  <si>
    <t>indonesia</t>
  </si>
  <si>
    <t>IE</t>
  </si>
  <si>
    <t>IRL</t>
  </si>
  <si>
    <t>Ireland</t>
  </si>
  <si>
    <t>007</t>
  </si>
  <si>
    <t>Ireland, Republic of</t>
  </si>
  <si>
    <t>372</t>
  </si>
  <si>
    <t>^(?!north.*)ireland</t>
  </si>
  <si>
    <t>IL</t>
  </si>
  <si>
    <t>ISR</t>
  </si>
  <si>
    <t>Israel</t>
  </si>
  <si>
    <t>376</t>
  </si>
  <si>
    <t>israel</t>
  </si>
  <si>
    <t>IM</t>
  </si>
  <si>
    <t>IMN</t>
  </si>
  <si>
    <t>Isle of Man</t>
  </si>
  <si>
    <t>^(?=.*isle).*\bman</t>
  </si>
  <si>
    <t>IN</t>
  </si>
  <si>
    <t>IND</t>
  </si>
  <si>
    <t>India</t>
  </si>
  <si>
    <t>356</t>
  </si>
  <si>
    <t>india(?!.*ocea)</t>
  </si>
  <si>
    <t>IO</t>
  </si>
  <si>
    <t>IOT</t>
  </si>
  <si>
    <t>British Indian Ocean Territory</t>
  </si>
  <si>
    <t>br.*indian.?ocean</t>
  </si>
  <si>
    <t>IQ</t>
  </si>
  <si>
    <t>IRQ</t>
  </si>
  <si>
    <t>Iraq</t>
  </si>
  <si>
    <t>368</t>
  </si>
  <si>
    <t>\biraq|mesopotamia</t>
  </si>
  <si>
    <t>IR</t>
  </si>
  <si>
    <t>IRN</t>
  </si>
  <si>
    <t>Iran</t>
  </si>
  <si>
    <t>364</t>
  </si>
  <si>
    <t>\biran|persia</t>
  </si>
  <si>
    <t>IS</t>
  </si>
  <si>
    <t>ISL</t>
  </si>
  <si>
    <t>Iceland</t>
  </si>
  <si>
    <t>iceland</t>
  </si>
  <si>
    <t>IT</t>
  </si>
  <si>
    <t>ITA</t>
  </si>
  <si>
    <t>Italy</t>
  </si>
  <si>
    <t>005</t>
  </si>
  <si>
    <t>380</t>
  </si>
  <si>
    <t>.*italy|.*italia.*</t>
  </si>
  <si>
    <t>JE</t>
  </si>
  <si>
    <t>JEY</t>
  </si>
  <si>
    <t>Jersey</t>
  </si>
  <si>
    <t>jersey</t>
  </si>
  <si>
    <t>JM</t>
  </si>
  <si>
    <t>JAM</t>
  </si>
  <si>
    <t>Jamaica</t>
  </si>
  <si>
    <t>388</t>
  </si>
  <si>
    <t>jamaica</t>
  </si>
  <si>
    <t>JO</t>
  </si>
  <si>
    <t>JOR</t>
  </si>
  <si>
    <t>Jordan</t>
  </si>
  <si>
    <t>400</t>
  </si>
  <si>
    <t>jordan</t>
  </si>
  <si>
    <t>JP</t>
  </si>
  <si>
    <t>JPN</t>
  </si>
  <si>
    <t>Japan</t>
  </si>
  <si>
    <t>392</t>
  </si>
  <si>
    <t>japan</t>
  </si>
  <si>
    <t>KE</t>
  </si>
  <si>
    <t>KEN</t>
  </si>
  <si>
    <t>Kenya</t>
  </si>
  <si>
    <t>404</t>
  </si>
  <si>
    <t>kenya|british.?east.?africa|east.?africa.?prot</t>
  </si>
  <si>
    <t>KG</t>
  </si>
  <si>
    <t>KGZ</t>
  </si>
  <si>
    <t>Kyrgyz Republic</t>
  </si>
  <si>
    <t>Kyrgyzstan</t>
  </si>
  <si>
    <t>417</t>
  </si>
  <si>
    <t>kyrgyz|kirghiz</t>
  </si>
  <si>
    <t>KH</t>
  </si>
  <si>
    <t>KHM</t>
  </si>
  <si>
    <t>Cambodia</t>
  </si>
  <si>
    <t>116</t>
  </si>
  <si>
    <t>cambodia|kampuchea|khmer|^p\.?r\.?k\.?$</t>
  </si>
  <si>
    <t>KI</t>
  </si>
  <si>
    <t>KIR</t>
  </si>
  <si>
    <t>Kiribati</t>
  </si>
  <si>
    <t>296</t>
  </si>
  <si>
    <t>kiribati</t>
  </si>
  <si>
    <t>KM</t>
  </si>
  <si>
    <t>COM</t>
  </si>
  <si>
    <t>Comoros</t>
  </si>
  <si>
    <t>comoro</t>
  </si>
  <si>
    <t>KN</t>
  </si>
  <si>
    <t>KNA</t>
  </si>
  <si>
    <t>St. Kitts and Nevis</t>
  </si>
  <si>
    <t>659</t>
  </si>
  <si>
    <t>kitts|\bnevis</t>
  </si>
  <si>
    <t>KP</t>
  </si>
  <si>
    <t>PRK</t>
  </si>
  <si>
    <t>North Korea</t>
  </si>
  <si>
    <t>Korea, North</t>
  </si>
  <si>
    <t>Korea, Dem. P.R. of</t>
  </si>
  <si>
    <t>^(?=.*dem).*\bkorea|^(?=.*peo).*\bkorea|^(?=.*nor).*\bkorea|\bd\.?p\.?r\.?k</t>
  </si>
  <si>
    <t>KR</t>
  </si>
  <si>
    <t>KOR</t>
  </si>
  <si>
    <t>South Korea</t>
  </si>
  <si>
    <t>Korea, South</t>
  </si>
  <si>
    <t>Korea (Rep. of)</t>
  </si>
  <si>
    <t>Korea</t>
  </si>
  <si>
    <t>410</t>
  </si>
  <si>
    <t>^(?!.*dem)(?!.*peo)(?!.*nor).*\bkorea|\br\.?o\.?k\b</t>
  </si>
  <si>
    <t>KW</t>
  </si>
  <si>
    <t>KWT</t>
  </si>
  <si>
    <t>Kuwait</t>
  </si>
  <si>
    <t>414</t>
  </si>
  <si>
    <t>kuwait</t>
  </si>
  <si>
    <t>KY</t>
  </si>
  <si>
    <t>CYM</t>
  </si>
  <si>
    <t>Cayman Islands</t>
  </si>
  <si>
    <t>136</t>
  </si>
  <si>
    <t>cayman</t>
  </si>
  <si>
    <t>KZ</t>
  </si>
  <si>
    <t>KAZ</t>
  </si>
  <si>
    <t>Kazakhstan</t>
  </si>
  <si>
    <t>398</t>
  </si>
  <si>
    <t>kazak</t>
  </si>
  <si>
    <t>LA</t>
  </si>
  <si>
    <t>LAO</t>
  </si>
  <si>
    <t>Laos</t>
  </si>
  <si>
    <t>418</t>
  </si>
  <si>
    <t>\blaos?\b</t>
  </si>
  <si>
    <t>LB</t>
  </si>
  <si>
    <t>LBN</t>
  </si>
  <si>
    <t>Lebanon</t>
  </si>
  <si>
    <t>422</t>
  </si>
  <si>
    <t>lebanon|lebanese</t>
  </si>
  <si>
    <t>LC</t>
  </si>
  <si>
    <t>LCA</t>
  </si>
  <si>
    <t>St. Lucia</t>
  </si>
  <si>
    <t>\blucia</t>
  </si>
  <si>
    <t>LI</t>
  </si>
  <si>
    <t>LIE</t>
  </si>
  <si>
    <t>Liechtenstein</t>
  </si>
  <si>
    <t>438</t>
  </si>
  <si>
    <t>liechtenstein</t>
  </si>
  <si>
    <t>LK</t>
  </si>
  <si>
    <t>LKA</t>
  </si>
  <si>
    <t>Sri Lanka</t>
  </si>
  <si>
    <t>144</t>
  </si>
  <si>
    <t>sri.?lanka|ceylon</t>
  </si>
  <si>
    <t>LR</t>
  </si>
  <si>
    <t>LBR</t>
  </si>
  <si>
    <t>Liberia</t>
  </si>
  <si>
    <t>liberia</t>
  </si>
  <si>
    <t>LS</t>
  </si>
  <si>
    <t>LSO</t>
  </si>
  <si>
    <t>Lesotho</t>
  </si>
  <si>
    <t>426</t>
  </si>
  <si>
    <t>lesotho|basuto</t>
  </si>
  <si>
    <t>LT</t>
  </si>
  <si>
    <t>LTU</t>
  </si>
  <si>
    <t>Lithuania</t>
  </si>
  <si>
    <t>055</t>
  </si>
  <si>
    <t>440</t>
  </si>
  <si>
    <t>lithuania</t>
  </si>
  <si>
    <t>LU</t>
  </si>
  <si>
    <t>LUX</t>
  </si>
  <si>
    <t>Luxembourg</t>
  </si>
  <si>
    <t>018</t>
  </si>
  <si>
    <t>442</t>
  </si>
  <si>
    <t>^(?!.*belg).*luxem</t>
  </si>
  <si>
    <t>LV</t>
  </si>
  <si>
    <t>LVA</t>
  </si>
  <si>
    <t>Latvia</t>
  </si>
  <si>
    <t>054</t>
  </si>
  <si>
    <t>428</t>
  </si>
  <si>
    <t>latvia</t>
  </si>
  <si>
    <t>LY</t>
  </si>
  <si>
    <t>LBY</t>
  </si>
  <si>
    <t>Libya</t>
  </si>
  <si>
    <t>434</t>
  </si>
  <si>
    <t>libya</t>
  </si>
  <si>
    <t>MA</t>
  </si>
  <si>
    <t>MAR</t>
  </si>
  <si>
    <t>Morocco</t>
  </si>
  <si>
    <t>504</t>
  </si>
  <si>
    <t>morocco|\bmaroc</t>
  </si>
  <si>
    <t>MC</t>
  </si>
  <si>
    <t>MCO</t>
  </si>
  <si>
    <t>Monaco</t>
  </si>
  <si>
    <t>monaco</t>
  </si>
  <si>
    <t>MD</t>
  </si>
  <si>
    <t>MDA</t>
  </si>
  <si>
    <t>Moldova</t>
  </si>
  <si>
    <t>Republic of Moldova</t>
  </si>
  <si>
    <t>498</t>
  </si>
  <si>
    <t>moldov|b(a|e)ssarabia</t>
  </si>
  <si>
    <t>ME</t>
  </si>
  <si>
    <t>MNE</t>
  </si>
  <si>
    <t>Montenegro</t>
  </si>
  <si>
    <t>097</t>
  </si>
  <si>
    <t>499</t>
  </si>
  <si>
    <t>^(?!.*serbia).*montenegro</t>
  </si>
  <si>
    <t>MAF</t>
  </si>
  <si>
    <t>Saint-Martin</t>
  </si>
  <si>
    <t>^(?!.*maarten)(?!.*saba)(?!.*dutch).*martin\b</t>
  </si>
  <si>
    <t>MG</t>
  </si>
  <si>
    <t>MDG</t>
  </si>
  <si>
    <t>Madagascar</t>
  </si>
  <si>
    <t>450</t>
  </si>
  <si>
    <t>madagascar|malagasy</t>
  </si>
  <si>
    <t>MH</t>
  </si>
  <si>
    <t>MHL</t>
  </si>
  <si>
    <t>Marshall Islands</t>
  </si>
  <si>
    <t>584</t>
  </si>
  <si>
    <t>marshall</t>
  </si>
  <si>
    <t>MK</t>
  </si>
  <si>
    <t>MKD</t>
  </si>
  <si>
    <t>Macedonia</t>
  </si>
  <si>
    <t>North Macedonia</t>
  </si>
  <si>
    <t>Republic of North Macedonia</t>
  </si>
  <si>
    <t>807</t>
  </si>
  <si>
    <t>macedonia|^f\.?y\.?r\.?o\.?m\.?$</t>
  </si>
  <si>
    <t>ML</t>
  </si>
  <si>
    <t>MLI</t>
  </si>
  <si>
    <t>Mali</t>
  </si>
  <si>
    <t>466</t>
  </si>
  <si>
    <t>\bmali\b</t>
  </si>
  <si>
    <t>MM</t>
  </si>
  <si>
    <t>MMR</t>
  </si>
  <si>
    <t>Myanmar</t>
  </si>
  <si>
    <t>myanmar|burma</t>
  </si>
  <si>
    <t>MN</t>
  </si>
  <si>
    <t>MNG</t>
  </si>
  <si>
    <t>Mongolia</t>
  </si>
  <si>
    <t>496</t>
  </si>
  <si>
    <t>mongolia</t>
  </si>
  <si>
    <t>MO</t>
  </si>
  <si>
    <t>MAC</t>
  </si>
  <si>
    <t>Macao</t>
  </si>
  <si>
    <t>446</t>
  </si>
  <si>
    <t>.*maca(o|u)</t>
  </si>
  <si>
    <t>MP</t>
  </si>
  <si>
    <t>MNP</t>
  </si>
  <si>
    <t>Northern Mariana Islands</t>
  </si>
  <si>
    <t>mariana</t>
  </si>
  <si>
    <t>MQ</t>
  </si>
  <si>
    <t>MTQ</t>
  </si>
  <si>
    <t>Martinique</t>
  </si>
  <si>
    <t>martinique</t>
  </si>
  <si>
    <t>MR</t>
  </si>
  <si>
    <t>MRT</t>
  </si>
  <si>
    <t>Mauritania</t>
  </si>
  <si>
    <t>478</t>
  </si>
  <si>
    <t>mauritania</t>
  </si>
  <si>
    <t>MS</t>
  </si>
  <si>
    <t>MSR</t>
  </si>
  <si>
    <t>Montserrat</t>
  </si>
  <si>
    <t>montserrat</t>
  </si>
  <si>
    <t>MT</t>
  </si>
  <si>
    <t>MLT</t>
  </si>
  <si>
    <t>Malta</t>
  </si>
  <si>
    <t>046</t>
  </si>
  <si>
    <t>470</t>
  </si>
  <si>
    <t>\bmalta</t>
  </si>
  <si>
    <t>MU</t>
  </si>
  <si>
    <t>MUS</t>
  </si>
  <si>
    <t>Mauritius</t>
  </si>
  <si>
    <t>480</t>
  </si>
  <si>
    <t>mauritius</t>
  </si>
  <si>
    <t>MV</t>
  </si>
  <si>
    <t>MDV</t>
  </si>
  <si>
    <t>Maldives</t>
  </si>
  <si>
    <t>462</t>
  </si>
  <si>
    <t>maldive</t>
  </si>
  <si>
    <t>MW</t>
  </si>
  <si>
    <t>MWI</t>
  </si>
  <si>
    <t>Malawi</t>
  </si>
  <si>
    <t>454</t>
  </si>
  <si>
    <t>malawi|nyasa</t>
  </si>
  <si>
    <t>MX</t>
  </si>
  <si>
    <t>MEX</t>
  </si>
  <si>
    <t>Mexico</t>
  </si>
  <si>
    <t>484</t>
  </si>
  <si>
    <t>\bmexic</t>
  </si>
  <si>
    <t>MY</t>
  </si>
  <si>
    <t>MYS</t>
  </si>
  <si>
    <t>Malaysia</t>
  </si>
  <si>
    <t>458</t>
  </si>
  <si>
    <t>malaysia</t>
  </si>
  <si>
    <t>MZ</t>
  </si>
  <si>
    <t>MOZ</t>
  </si>
  <si>
    <t>Mozambique</t>
  </si>
  <si>
    <t>508</t>
  </si>
  <si>
    <t>mozambique</t>
  </si>
  <si>
    <t>NA</t>
  </si>
  <si>
    <t>NAM</t>
  </si>
  <si>
    <t>Namibia</t>
  </si>
  <si>
    <t>516</t>
  </si>
  <si>
    <t>namibia</t>
  </si>
  <si>
    <t>NC</t>
  </si>
  <si>
    <t>NCL</t>
  </si>
  <si>
    <t>New Caledonia</t>
  </si>
  <si>
    <t>new.?caledonia</t>
  </si>
  <si>
    <t>NE</t>
  </si>
  <si>
    <t>NER</t>
  </si>
  <si>
    <t>Niger</t>
  </si>
  <si>
    <t>562</t>
  </si>
  <si>
    <t>\bniger(?!ia)</t>
  </si>
  <si>
    <t>NF</t>
  </si>
  <si>
    <t>NFK</t>
  </si>
  <si>
    <t>Norfolk Island</t>
  </si>
  <si>
    <t>norfolk</t>
  </si>
  <si>
    <t>NG</t>
  </si>
  <si>
    <t>NGA</t>
  </si>
  <si>
    <t>Nigeria</t>
  </si>
  <si>
    <t>566</t>
  </si>
  <si>
    <t>nigeria</t>
  </si>
  <si>
    <t>NI</t>
  </si>
  <si>
    <t>NIC</t>
  </si>
  <si>
    <t>Nicaragua</t>
  </si>
  <si>
    <t>558</t>
  </si>
  <si>
    <t>nicaragua</t>
  </si>
  <si>
    <t>NL</t>
  </si>
  <si>
    <t>NLD</t>
  </si>
  <si>
    <t>Netherlands</t>
  </si>
  <si>
    <t>003</t>
  </si>
  <si>
    <t>528</t>
  </si>
  <si>
    <t>^(?!.*\bant)(?!.*\bcarib).*netherlands</t>
  </si>
  <si>
    <t>NO</t>
  </si>
  <si>
    <t>NOR</t>
  </si>
  <si>
    <t>Norway</t>
  </si>
  <si>
    <t>578</t>
  </si>
  <si>
    <t>norway</t>
  </si>
  <si>
    <t>NP</t>
  </si>
  <si>
    <t>NPL</t>
  </si>
  <si>
    <t>Nepal</t>
  </si>
  <si>
    <t>524</t>
  </si>
  <si>
    <t>nepal</t>
  </si>
  <si>
    <t>NR</t>
  </si>
  <si>
    <t>NRU</t>
  </si>
  <si>
    <t>Nauru</t>
  </si>
  <si>
    <t>nauru</t>
  </si>
  <si>
    <t>NSP</t>
  </si>
  <si>
    <t>NU</t>
  </si>
  <si>
    <t>NIU</t>
  </si>
  <si>
    <t>Niue</t>
  </si>
  <si>
    <t>niue</t>
  </si>
  <si>
    <t>NZ</t>
  </si>
  <si>
    <t>NZL</t>
  </si>
  <si>
    <t>New Zealand</t>
  </si>
  <si>
    <t>554</t>
  </si>
  <si>
    <t>(new|n)?.? *zealand</t>
  </si>
  <si>
    <t>OM</t>
  </si>
  <si>
    <t>OMN</t>
  </si>
  <si>
    <t>Oman</t>
  </si>
  <si>
    <t>512</t>
  </si>
  <si>
    <t>\boman|trucial</t>
  </si>
  <si>
    <t>PA</t>
  </si>
  <si>
    <t>PAN</t>
  </si>
  <si>
    <t>Panama</t>
  </si>
  <si>
    <t>591</t>
  </si>
  <si>
    <t>panama</t>
  </si>
  <si>
    <t>PE</t>
  </si>
  <si>
    <t>PER</t>
  </si>
  <si>
    <t>Peru</t>
  </si>
  <si>
    <t>604</t>
  </si>
  <si>
    <t>peru</t>
  </si>
  <si>
    <t>PF</t>
  </si>
  <si>
    <t>PYF</t>
  </si>
  <si>
    <t>French Polynesia</t>
  </si>
  <si>
    <t>french.?polynesia</t>
  </si>
  <si>
    <t>PG</t>
  </si>
  <si>
    <t>PNG</t>
  </si>
  <si>
    <t>Papua New Guinea</t>
  </si>
  <si>
    <t>598</t>
  </si>
  <si>
    <t>papua|\bp.*\bn.*\bguin.*|^p\.?n\.?g\.?$|new.?guinea</t>
  </si>
  <si>
    <t>PH</t>
  </si>
  <si>
    <t>PHL</t>
  </si>
  <si>
    <t>Philippines</t>
  </si>
  <si>
    <t>608</t>
  </si>
  <si>
    <t>philippines</t>
  </si>
  <si>
    <t>PK</t>
  </si>
  <si>
    <t>PAK</t>
  </si>
  <si>
    <t>Pakistan</t>
  </si>
  <si>
    <t>586</t>
  </si>
  <si>
    <t>^(?!.*east).*paki?stan</t>
  </si>
  <si>
    <t>PL</t>
  </si>
  <si>
    <t>POL</t>
  </si>
  <si>
    <t>Poland</t>
  </si>
  <si>
    <t>616</t>
  </si>
  <si>
    <t>poland</t>
  </si>
  <si>
    <t>PM</t>
  </si>
  <si>
    <t>SPM</t>
  </si>
  <si>
    <t>St. Pierre and Miquelon</t>
  </si>
  <si>
    <t>miquelon</t>
  </si>
  <si>
    <t>PN</t>
  </si>
  <si>
    <t>PCN</t>
  </si>
  <si>
    <t>Pitcairn</t>
  </si>
  <si>
    <t>pitcairn</t>
  </si>
  <si>
    <t>PR</t>
  </si>
  <si>
    <t>PRI</t>
  </si>
  <si>
    <t>Puerto Rico</t>
  </si>
  <si>
    <t>630</t>
  </si>
  <si>
    <t>US</t>
  </si>
  <si>
    <t>puerto.?rico</t>
  </si>
  <si>
    <t>PS</t>
  </si>
  <si>
    <t>PSE</t>
  </si>
  <si>
    <t>Palestine</t>
  </si>
  <si>
    <t>palestin|\bgaza|west.?bank</t>
  </si>
  <si>
    <t>PT</t>
  </si>
  <si>
    <t>PRT</t>
  </si>
  <si>
    <t>Portugal</t>
  </si>
  <si>
    <t>010</t>
  </si>
  <si>
    <t>620</t>
  </si>
  <si>
    <t>portugal|portuguese</t>
  </si>
  <si>
    <t>PW</t>
  </si>
  <si>
    <t>PLW</t>
  </si>
  <si>
    <t>Palau</t>
  </si>
  <si>
    <t>585</t>
  </si>
  <si>
    <t>palau</t>
  </si>
  <si>
    <t>PY</t>
  </si>
  <si>
    <t>PRY</t>
  </si>
  <si>
    <t>Paraguay</t>
  </si>
  <si>
    <t>paraguay</t>
  </si>
  <si>
    <t>QA</t>
  </si>
  <si>
    <t>QAT</t>
  </si>
  <si>
    <t>Qatar</t>
  </si>
  <si>
    <t>634</t>
  </si>
  <si>
    <t>qatar</t>
  </si>
  <si>
    <t>QP</t>
  </si>
  <si>
    <t>High seas</t>
  </si>
  <si>
    <t>QQ</t>
  </si>
  <si>
    <t>Stores and provisions  (deliveries to vessels and aircrafts)</t>
  </si>
  <si>
    <t>QR</t>
  </si>
  <si>
    <t>Stores and provisions within the framework of intra-Union trade (deliveries to vessels and aircrafts)</t>
  </si>
  <si>
    <t>QS</t>
  </si>
  <si>
    <t>Stores and provisions within the framework of extra-Union trade (deliveries to vessels and aircrafts)</t>
  </si>
  <si>
    <t>QU</t>
  </si>
  <si>
    <t xml:space="preserve">Countries and territories not specified </t>
  </si>
  <si>
    <t>QV</t>
  </si>
  <si>
    <t xml:space="preserve">Countries and territories not specified within the framework of intra-Union trade </t>
  </si>
  <si>
    <t>QW</t>
  </si>
  <si>
    <t xml:space="preserve">Countries and territories not specified within the framework of extra-Union trade </t>
  </si>
  <si>
    <t>QX</t>
  </si>
  <si>
    <t xml:space="preserve">Countries and territories not specified for com­mercial or military reasons </t>
  </si>
  <si>
    <t>QY</t>
  </si>
  <si>
    <t xml:space="preserve">Countries and territories not specified for com­mercial or military reasons in the framework of intra-Union trade </t>
  </si>
  <si>
    <t>QZ</t>
  </si>
  <si>
    <t xml:space="preserve">Countries and territories not specified for com­mercial or military reasons in the framework of extra-Union trade </t>
  </si>
  <si>
    <t>RE</t>
  </si>
  <si>
    <t>REU</t>
  </si>
  <si>
    <t>Reunion</t>
  </si>
  <si>
    <t>reunion|réunion</t>
  </si>
  <si>
    <t>RO</t>
  </si>
  <si>
    <t>ROU</t>
  </si>
  <si>
    <t>Romania</t>
  </si>
  <si>
    <t>066</t>
  </si>
  <si>
    <t>642</t>
  </si>
  <si>
    <t>r(o|u|ou)mania</t>
  </si>
  <si>
    <t>RS</t>
  </si>
  <si>
    <t>SRB</t>
  </si>
  <si>
    <t>Serbia</t>
  </si>
  <si>
    <t>098</t>
  </si>
  <si>
    <t>688</t>
  </si>
  <si>
    <t>^(?!.*monte).*serbia.*</t>
  </si>
  <si>
    <t>RU</t>
  </si>
  <si>
    <t>RUS</t>
  </si>
  <si>
    <t>Russia</t>
  </si>
  <si>
    <t>643</t>
  </si>
  <si>
    <t>\brussia</t>
  </si>
  <si>
    <t>RW</t>
  </si>
  <si>
    <t>RWA</t>
  </si>
  <si>
    <t>Rwanda</t>
  </si>
  <si>
    <t>646</t>
  </si>
  <si>
    <t>rwanda</t>
  </si>
  <si>
    <t>SA</t>
  </si>
  <si>
    <t>SAU</t>
  </si>
  <si>
    <t>Saudi Arabia</t>
  </si>
  <si>
    <t>682</t>
  </si>
  <si>
    <t>\bsa\w*.?arabia</t>
  </si>
  <si>
    <t>SB</t>
  </si>
  <si>
    <t>SLB</t>
  </si>
  <si>
    <t>Solomon Islands</t>
  </si>
  <si>
    <t>solomon</t>
  </si>
  <si>
    <t>SC</t>
  </si>
  <si>
    <t>SYC</t>
  </si>
  <si>
    <t>Seychelles</t>
  </si>
  <si>
    <t>seychell</t>
  </si>
  <si>
    <t>SCG</t>
  </si>
  <si>
    <t>Serbia and Montenegro (historic)</t>
  </si>
  <si>
    <t>Serbia and Montenegro</t>
  </si>
  <si>
    <t>SD</t>
  </si>
  <si>
    <t>SDN</t>
  </si>
  <si>
    <t>Sudan</t>
  </si>
  <si>
    <t>736</t>
  </si>
  <si>
    <t>^(?!.*\bs(?!u)).*sudan</t>
  </si>
  <si>
    <t>SD_old</t>
  </si>
  <si>
    <t>SDN_old</t>
  </si>
  <si>
    <t>Sudan (former 2011)</t>
  </si>
  <si>
    <t>SE</t>
  </si>
  <si>
    <t>SWE</t>
  </si>
  <si>
    <t>Sweden</t>
  </si>
  <si>
    <t>030</t>
  </si>
  <si>
    <t>752</t>
  </si>
  <si>
    <t>swedish|sweden</t>
  </si>
  <si>
    <t>SG</t>
  </si>
  <si>
    <t>SGP</t>
  </si>
  <si>
    <t>Singapore</t>
  </si>
  <si>
    <t>702</t>
  </si>
  <si>
    <t>singapore</t>
  </si>
  <si>
    <t>SH</t>
  </si>
  <si>
    <t>SHN</t>
  </si>
  <si>
    <t>St. Helena</t>
  </si>
  <si>
    <t>helena</t>
  </si>
  <si>
    <t>SI</t>
  </si>
  <si>
    <t>SVN</t>
  </si>
  <si>
    <t>Slovenia</t>
  </si>
  <si>
    <t>705</t>
  </si>
  <si>
    <t>slovenia</t>
  </si>
  <si>
    <t>SJ</t>
  </si>
  <si>
    <t>SJM</t>
  </si>
  <si>
    <t>Svalbard and Jan Mayen Islands</t>
  </si>
  <si>
    <t>^(?!norway).*svalbard</t>
  </si>
  <si>
    <t>SK</t>
  </si>
  <si>
    <t>SVK</t>
  </si>
  <si>
    <t>Slovakia</t>
  </si>
  <si>
    <t>063</t>
  </si>
  <si>
    <t>Slovak Republic</t>
  </si>
  <si>
    <t>703</t>
  </si>
  <si>
    <t>^(?!.*cze).*slovak</t>
  </si>
  <si>
    <t>SL</t>
  </si>
  <si>
    <t>SLE</t>
  </si>
  <si>
    <t>Sierra Leone</t>
  </si>
  <si>
    <t>sierra</t>
  </si>
  <si>
    <t>SM</t>
  </si>
  <si>
    <t>SMR</t>
  </si>
  <si>
    <t>San Marino</t>
  </si>
  <si>
    <t>674</t>
  </si>
  <si>
    <t>san.?marino</t>
  </si>
  <si>
    <t>SN</t>
  </si>
  <si>
    <t>SEN</t>
  </si>
  <si>
    <t>Senegal</t>
  </si>
  <si>
    <t>686</t>
  </si>
  <si>
    <t>senegal</t>
  </si>
  <si>
    <t>SO</t>
  </si>
  <si>
    <t>SOM</t>
  </si>
  <si>
    <t>Somalia</t>
  </si>
  <si>
    <t>somali</t>
  </si>
  <si>
    <t>SR</t>
  </si>
  <si>
    <t>SUR</t>
  </si>
  <si>
    <t>Suriname</t>
  </si>
  <si>
    <t>740</t>
  </si>
  <si>
    <t>surinam|dutch.?guiana</t>
  </si>
  <si>
    <t>SS</t>
  </si>
  <si>
    <t>SSD</t>
  </si>
  <si>
    <t>South Sudan</t>
  </si>
  <si>
    <t>\bs\w*.?sudan</t>
  </si>
  <si>
    <t>ST</t>
  </si>
  <si>
    <t>STP</t>
  </si>
  <si>
    <t>Sao Tome and Principe</t>
  </si>
  <si>
    <t>678</t>
  </si>
  <si>
    <t>tome|tomé</t>
  </si>
  <si>
    <t>SUN</t>
  </si>
  <si>
    <t>Soviet Union (historic)</t>
  </si>
  <si>
    <t>SV</t>
  </si>
  <si>
    <t>SLV</t>
  </si>
  <si>
    <t>El Salvador</t>
  </si>
  <si>
    <t>el.?salvador</t>
  </si>
  <si>
    <t>SX</t>
  </si>
  <si>
    <t>SXM</t>
  </si>
  <si>
    <t>Sint Maarten</t>
  </si>
  <si>
    <t>^(?!.*martin)(?!.*saba).*maarten|dutch.*martin|martin.*dutch</t>
  </si>
  <si>
    <t>SY</t>
  </si>
  <si>
    <t>SYR</t>
  </si>
  <si>
    <t>Syria</t>
  </si>
  <si>
    <t>760</t>
  </si>
  <si>
    <t>syria</t>
  </si>
  <si>
    <t>SZ</t>
  </si>
  <si>
    <t>SWZ</t>
  </si>
  <si>
    <t>Eswatini</t>
  </si>
  <si>
    <t>748</t>
  </si>
  <si>
    <t>swaziland|eswatini</t>
  </si>
  <si>
    <t>TC</t>
  </si>
  <si>
    <t>TCA</t>
  </si>
  <si>
    <t>Turks and Caicos Islands</t>
  </si>
  <si>
    <t>turks</t>
  </si>
  <si>
    <t>TD</t>
  </si>
  <si>
    <t>TCD</t>
  </si>
  <si>
    <t>Chad</t>
  </si>
  <si>
    <t>148</t>
  </si>
  <si>
    <t>\bchad</t>
  </si>
  <si>
    <t>TF</t>
  </si>
  <si>
    <t>ATF</t>
  </si>
  <si>
    <t>French Southern Territories</t>
  </si>
  <si>
    <t>french.?southern|\bfr.*\bso.*\ban.*\b\bt</t>
  </si>
  <si>
    <t>TG</t>
  </si>
  <si>
    <t>TGO</t>
  </si>
  <si>
    <t>Togo</t>
  </si>
  <si>
    <t>768</t>
  </si>
  <si>
    <t>togo</t>
  </si>
  <si>
    <t>TH</t>
  </si>
  <si>
    <t>THA</t>
  </si>
  <si>
    <t>Thailand</t>
  </si>
  <si>
    <t>764</t>
  </si>
  <si>
    <t>thailand|\bsiam</t>
  </si>
  <si>
    <t>TJ</t>
  </si>
  <si>
    <t>TJK</t>
  </si>
  <si>
    <t>Tajikistan</t>
  </si>
  <si>
    <t>762</t>
  </si>
  <si>
    <t>tajik</t>
  </si>
  <si>
    <t>TK</t>
  </si>
  <si>
    <t>TKL</t>
  </si>
  <si>
    <t>Tokelau</t>
  </si>
  <si>
    <t>tokelau</t>
  </si>
  <si>
    <t>TL</t>
  </si>
  <si>
    <t>TLS</t>
  </si>
  <si>
    <t>Timor-Leste</t>
  </si>
  <si>
    <t>^(?=.*leste).*timor|^(?=.*east).*timor</t>
  </si>
  <si>
    <t>TM</t>
  </si>
  <si>
    <t>TKM</t>
  </si>
  <si>
    <t>Turkmenistan</t>
  </si>
  <si>
    <t>795</t>
  </si>
  <si>
    <t>turk-?men</t>
  </si>
  <si>
    <t>TN</t>
  </si>
  <si>
    <t>TUN</t>
  </si>
  <si>
    <t>Tunisia</t>
  </si>
  <si>
    <t>788</t>
  </si>
  <si>
    <t>tunisia</t>
  </si>
  <si>
    <t>TO</t>
  </si>
  <si>
    <t>TON</t>
  </si>
  <si>
    <t>Tonga</t>
  </si>
  <si>
    <t>776</t>
  </si>
  <si>
    <t>tonga</t>
  </si>
  <si>
    <t>World</t>
  </si>
  <si>
    <t>TR</t>
  </si>
  <si>
    <t>TUR</t>
  </si>
  <si>
    <t>Turkey</t>
  </si>
  <si>
    <t>Türkiye</t>
  </si>
  <si>
    <t>Republic of Türkiye</t>
  </si>
  <si>
    <t>792</t>
  </si>
  <si>
    <t>turkey</t>
  </si>
  <si>
    <t>TT</t>
  </si>
  <si>
    <t>TTO</t>
  </si>
  <si>
    <t>Trinidad and Tobago</t>
  </si>
  <si>
    <t>Trinidad &amp; Tobago</t>
  </si>
  <si>
    <t>780</t>
  </si>
  <si>
    <t>trinidad|tobago</t>
  </si>
  <si>
    <t>TV</t>
  </si>
  <si>
    <t>TUV</t>
  </si>
  <si>
    <t>Tuvalu</t>
  </si>
  <si>
    <t>tuvalu</t>
  </si>
  <si>
    <t>TW</t>
  </si>
  <si>
    <t>TWN</t>
  </si>
  <si>
    <t>Taiwan</t>
  </si>
  <si>
    <t>158</t>
  </si>
  <si>
    <t>.*taiwan|.*taipei|.*formosa|^(?!.*\bdem)(?!.*\bpe)(?!.*\bdr)(^rep.*).*\bchina.*(?!.*\bdem.*)(?!\bpe.*)(?!.*\bdr.*).*|^ROC$</t>
  </si>
  <si>
    <t>TZ</t>
  </si>
  <si>
    <t>TZA</t>
  </si>
  <si>
    <t>Tanzania</t>
  </si>
  <si>
    <t>834</t>
  </si>
  <si>
    <t>tanzania(?!: zan.*)</t>
  </si>
  <si>
    <t>UA</t>
  </si>
  <si>
    <t>UKR</t>
  </si>
  <si>
    <t>Ukraine</t>
  </si>
  <si>
    <t>804</t>
  </si>
  <si>
    <t>ukrain</t>
  </si>
  <si>
    <t>UG</t>
  </si>
  <si>
    <t>UGA</t>
  </si>
  <si>
    <t>Uganda</t>
  </si>
  <si>
    <t>800</t>
  </si>
  <si>
    <t>uganda</t>
  </si>
  <si>
    <t>UM</t>
  </si>
  <si>
    <t>UMI</t>
  </si>
  <si>
    <t>United States Minor Outlying Islands</t>
  </si>
  <si>
    <t>minor.?outlying.?is</t>
  </si>
  <si>
    <t>USA</t>
  </si>
  <si>
    <t>United States</t>
  </si>
  <si>
    <t>840</t>
  </si>
  <si>
    <t>^(?!.*islands).*united.?states|^u\.?s\.?a\.?$|^u\.?s\.?$</t>
  </si>
  <si>
    <t>UY</t>
  </si>
  <si>
    <t>URY</t>
  </si>
  <si>
    <t>Uruguay</t>
  </si>
  <si>
    <t>858</t>
  </si>
  <si>
    <t>uruguay</t>
  </si>
  <si>
    <t>UZ</t>
  </si>
  <si>
    <t>UZB</t>
  </si>
  <si>
    <t>Uzbekistan</t>
  </si>
  <si>
    <t>860</t>
  </si>
  <si>
    <t>uzbek</t>
  </si>
  <si>
    <t>VA</t>
  </si>
  <si>
    <t>VAT</t>
  </si>
  <si>
    <t>Vatican</t>
  </si>
  <si>
    <t>holy.?see|vatican|papal.?st</t>
  </si>
  <si>
    <t>VC</t>
  </si>
  <si>
    <t>VCT</t>
  </si>
  <si>
    <t>St. Vincent and the Grenadines</t>
  </si>
  <si>
    <t>vincent</t>
  </si>
  <si>
    <t>VE</t>
  </si>
  <si>
    <t>VEN</t>
  </si>
  <si>
    <t>Venezuela</t>
  </si>
  <si>
    <t>venezuela</t>
  </si>
  <si>
    <t>VG</t>
  </si>
  <si>
    <t>VGB</t>
  </si>
  <si>
    <t>British Virgin Islands</t>
  </si>
  <si>
    <t>^(?=.*\bu\.?\s?k).*virgin|^(?=.*br.*).*virgin|^(?=.*kingdom).*virgin|BVI</t>
  </si>
  <si>
    <t>VI</t>
  </si>
  <si>
    <t>VIR</t>
  </si>
  <si>
    <t>United States Virgin Islands</t>
  </si>
  <si>
    <t>^(?=.*\bu\.?\s?s).*virgin|^(?=.*states).*virgin</t>
  </si>
  <si>
    <t>VN</t>
  </si>
  <si>
    <t>VNM</t>
  </si>
  <si>
    <t>Vietnam</t>
  </si>
  <si>
    <t>704</t>
  </si>
  <si>
    <t>^((?!n|s|.*republic)|(?=.*socialist)).*viet.?nam(?! *,? *n| *,? *s)</t>
  </si>
  <si>
    <t>VU</t>
  </si>
  <si>
    <t>VUT</t>
  </si>
  <si>
    <t>Vanuatu</t>
  </si>
  <si>
    <t>548</t>
  </si>
  <si>
    <t>vanuatu|new.?hebrides</t>
  </si>
  <si>
    <t>W2</t>
  </si>
  <si>
    <t>Domestic</t>
  </si>
  <si>
    <t>WA</t>
  </si>
  <si>
    <t>RoW Asia and Pacific</t>
  </si>
  <si>
    <t>WE</t>
  </si>
  <si>
    <t>RoW Europe</t>
  </si>
  <si>
    <t>WF</t>
  </si>
  <si>
    <t>WLF</t>
  </si>
  <si>
    <t>Wallis and Futuna Islands</t>
  </si>
  <si>
    <t>futuna|wallis</t>
  </si>
  <si>
    <t>WL</t>
  </si>
  <si>
    <t>RoW America</t>
  </si>
  <si>
    <t>WM</t>
  </si>
  <si>
    <t>RoW Middle East</t>
  </si>
  <si>
    <t>WS</t>
  </si>
  <si>
    <t>WSM</t>
  </si>
  <si>
    <t>Samoa</t>
  </si>
  <si>
    <t>882</t>
  </si>
  <si>
    <t>^(?!.*amer.*)samoa|(\bindep.*samoa)|^west.*samoa</t>
  </si>
  <si>
    <t>XA</t>
  </si>
  <si>
    <t>XAA</t>
  </si>
  <si>
    <t>Other Asia, nes</t>
  </si>
  <si>
    <t>XB</t>
  </si>
  <si>
    <t>XCB</t>
  </si>
  <si>
    <t>Other Africa, nes</t>
  </si>
  <si>
    <t>XC</t>
  </si>
  <si>
    <t>Ceuta</t>
  </si>
  <si>
    <t>XD</t>
  </si>
  <si>
    <t>XDA</t>
  </si>
  <si>
    <t>Bunkers</t>
  </si>
  <si>
    <t>XE</t>
  </si>
  <si>
    <t>XCE</t>
  </si>
  <si>
    <t>Oceania, nes</t>
  </si>
  <si>
    <t>XF</t>
  </si>
  <si>
    <t>XDB</t>
  </si>
  <si>
    <t>Free Zones</t>
  </si>
  <si>
    <t>XG</t>
  </si>
  <si>
    <t>XCA</t>
  </si>
  <si>
    <t>Other Europe, nes</t>
  </si>
  <si>
    <t>XH</t>
  </si>
  <si>
    <t>XCH</t>
  </si>
  <si>
    <t>North America and Central America, nes</t>
  </si>
  <si>
    <t>XK</t>
  </si>
  <si>
    <t>XKX</t>
  </si>
  <si>
    <t>Kosovo</t>
  </si>
  <si>
    <t>412</t>
  </si>
  <si>
    <t>XL</t>
  </si>
  <si>
    <t>Melilla</t>
  </si>
  <si>
    <t>XN</t>
  </si>
  <si>
    <t>XDC</t>
  </si>
  <si>
    <t>Neutral Zone</t>
  </si>
  <si>
    <t>XS</t>
  </si>
  <si>
    <t>XX</t>
  </si>
  <si>
    <t>XCF</t>
  </si>
  <si>
    <t>Not specified</t>
  </si>
  <si>
    <t>XY</t>
  </si>
  <si>
    <t>XXX</t>
  </si>
  <si>
    <t>Special Categories</t>
  </si>
  <si>
    <t>YAR</t>
  </si>
  <si>
    <t>Yemen Arab Republic (historic)</t>
  </si>
  <si>
    <t>Yemen Arab Republic</t>
  </si>
  <si>
    <t>YE</t>
  </si>
  <si>
    <t>YEM</t>
  </si>
  <si>
    <t>Yemen</t>
  </si>
  <si>
    <t>887</t>
  </si>
  <si>
    <t>yemen</t>
  </si>
  <si>
    <t>YMD</t>
  </si>
  <si>
    <t>South Yemen (historic)</t>
  </si>
  <si>
    <t>Yemen, PDR</t>
  </si>
  <si>
    <t>YT</t>
  </si>
  <si>
    <t>MYT</t>
  </si>
  <si>
    <t>Mayotte</t>
  </si>
  <si>
    <t>mayotte</t>
  </si>
  <si>
    <t>YUG</t>
  </si>
  <si>
    <t>Yugoslavia (historic)</t>
  </si>
  <si>
    <t>Yugoslavia</t>
  </si>
  <si>
    <t>ZA</t>
  </si>
  <si>
    <t>ZAF</t>
  </si>
  <si>
    <t>South Africa</t>
  </si>
  <si>
    <t>710</t>
  </si>
  <si>
    <t>\bs(\.|outh).*africa</t>
  </si>
  <si>
    <t>ZM</t>
  </si>
  <si>
    <t>ZMB</t>
  </si>
  <si>
    <t>Zambia</t>
  </si>
  <si>
    <t>894</t>
  </si>
  <si>
    <t>zambia|northern.?rhodesia</t>
  </si>
  <si>
    <t>ZR</t>
  </si>
  <si>
    <t>ZAR</t>
  </si>
  <si>
    <t>Zaire (historic)</t>
  </si>
  <si>
    <t>Zaire</t>
  </si>
  <si>
    <t>ZW</t>
  </si>
  <si>
    <t>ZWE</t>
  </si>
  <si>
    <t>Zimbabwe</t>
  </si>
  <si>
    <t>716</t>
  </si>
  <si>
    <t>zimbabwe|^(?!.*northern).*rhodesia</t>
  </si>
  <si>
    <t>G7</t>
  </si>
  <si>
    <t>IEA and Accession/Association countries</t>
  </si>
  <si>
    <t>Total IEA</t>
  </si>
  <si>
    <t>OECD Americas</t>
  </si>
  <si>
    <t>OECD Asia Oceania</t>
  </si>
  <si>
    <t>OECD Europe</t>
  </si>
  <si>
    <t>OECD Total</t>
  </si>
  <si>
    <t>Coal mining</t>
  </si>
  <si>
    <t>RM021-022</t>
  </si>
  <si>
    <t>Non-ferrous metals</t>
  </si>
  <si>
    <t>Scientific research and development services</t>
  </si>
  <si>
    <t>Other personal services</t>
  </si>
  <si>
    <t>cpa_agg</t>
  </si>
  <si>
    <t>cpa_label</t>
  </si>
  <si>
    <t>RME001-019</t>
  </si>
  <si>
    <t>CPA_A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</si>
  <si>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</si>
  <si>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</si>
  <si>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</si>
  <si>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RME022-056</t>
  </si>
  <si>
    <t>CPA_B05</t>
  </si>
  <si>
    <t>CPA_B06</t>
  </si>
  <si>
    <t>CPA_B07-09</t>
  </si>
  <si>
    <t>RME057-067</t>
  </si>
  <si>
    <t>CPA_C</t>
  </si>
  <si>
    <t>Food, beverages and tobacco products</t>
  </si>
  <si>
    <t>RME068-070</t>
  </si>
  <si>
    <t>Textiles, wearing apparel, leather and related products</t>
  </si>
  <si>
    <t>Wood and of products of wood and cork, except furniture; articles of straw and plaiting materials</t>
  </si>
  <si>
    <t>RME072-073</t>
  </si>
  <si>
    <t>Printing and recording services</t>
  </si>
  <si>
    <t>RME075-076</t>
  </si>
  <si>
    <t>RME077-084</t>
  </si>
  <si>
    <t>Basic pharmaceutical products and pharmaceutical preparations</t>
  </si>
  <si>
    <t>RME086-087</t>
  </si>
  <si>
    <t>Rubber and plastic products</t>
  </si>
  <si>
    <t>RME088-095</t>
  </si>
  <si>
    <t>CPA_C23.1</t>
  </si>
  <si>
    <t>CPA_C23.2-23.9</t>
  </si>
  <si>
    <t>CPA_C24.1-24.3</t>
  </si>
  <si>
    <t>CPA_C24.4</t>
  </si>
  <si>
    <t>CPA_C24.5</t>
  </si>
  <si>
    <t>RME096-117</t>
  </si>
  <si>
    <t>RME118-124</t>
  </si>
  <si>
    <t>Fabricated metal products, except machinery and equipment</t>
  </si>
  <si>
    <t>RME129-132</t>
  </si>
  <si>
    <t>RME133-139</t>
  </si>
  <si>
    <t>Furniture and other manufactured goods</t>
  </si>
  <si>
    <t>Repair and installation services of machinery and equipment</t>
  </si>
  <si>
    <t>RME141-143</t>
  </si>
  <si>
    <t>Electricity, gas, steam and air conditioning</t>
  </si>
  <si>
    <t>CPA_D35.1_35.3</t>
  </si>
  <si>
    <t>CPA_D35.2</t>
  </si>
  <si>
    <t>CPA_E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</si>
  <si>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</si>
  <si>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</si>
  <si>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</si>
  <si>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CPA_G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</si>
  <si>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</si>
  <si>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</si>
  <si>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</si>
  <si>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CPA_H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</si>
  <si>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</si>
  <si>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</si>
  <si>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</si>
  <si>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</si>
  <si>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</si>
  <si>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</si>
  <si>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CPA_J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</si>
  <si>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</si>
  <si>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</si>
  <si>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</si>
  <si>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</si>
  <si>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CPA_K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</si>
  <si>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</si>
  <si>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</si>
  <si>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</si>
  <si>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included imputed rents</t>
  </si>
  <si>
    <t>CPA_M</t>
  </si>
  <si>
    <t>Legal and accounting services; services of head offices; management consultancy services</t>
  </si>
  <si>
    <t>Architectural and engineering services; technical testing and analysis services</t>
  </si>
  <si>
    <t>Advertising and market research services</t>
  </si>
  <si>
    <t>Other professional, scientific and technical services and veterinary services</t>
  </si>
  <si>
    <t>CPA_N</t>
  </si>
  <si>
    <t>Rental and leasing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</si>
  <si>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</si>
  <si>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</si>
  <si>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</si>
  <si>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</si>
  <si>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CPA_Q</t>
  </si>
  <si>
    <t>Human health services</t>
  </si>
  <si>
    <t>Residential care services; social work services without accommodation</t>
  </si>
  <si>
    <t>CPA_R</t>
  </si>
  <si>
    <t>Creative, arts, entertainment, library, archive, museum, other cultural services; gambling and betting services</t>
  </si>
  <si>
    <t>Sporting services and amusement and recreation services</t>
  </si>
  <si>
    <t>CPA_S</t>
  </si>
  <si>
    <t>Services furnished by membership organisations</t>
  </si>
  <si>
    <t>Repair services of computers and personal and household goods</t>
  </si>
  <si>
    <t>CPA_S96_U</t>
  </si>
  <si>
    <t>Services of households as employers; undifferentiated goods and services produced by households for own use</t>
  </si>
  <si>
    <t>Transport equipment</t>
  </si>
  <si>
    <t>remark</t>
  </si>
  <si>
    <t xml:space="preserve">CPA_A01 </t>
  </si>
  <si>
    <t>Other animals and animal products, incl. hunting and trapping and related services</t>
  </si>
  <si>
    <t>Swine, live</t>
  </si>
  <si>
    <t>Poultry, live</t>
  </si>
  <si>
    <t xml:space="preserve">CPA_A03 </t>
  </si>
  <si>
    <t>Preserved meat and meat products</t>
  </si>
  <si>
    <t>Processed and preserved fish, crustaceans and molluscs</t>
  </si>
  <si>
    <t>Eggs, in shell, fresh</t>
  </si>
  <si>
    <t>Other food products  </t>
  </si>
  <si>
    <t>Other crop products</t>
  </si>
  <si>
    <t>Raw milk from dairy cattle</t>
  </si>
  <si>
    <t>Edible roots and tubers with high starch or inulin conten</t>
  </si>
  <si>
    <t>Soya beans, groundnuts and cotton seed, other oil seeds</t>
  </si>
  <si>
    <t>Processed and preserved fruit and vegetables</t>
  </si>
  <si>
    <t>Dried leguminous vegetables</t>
  </si>
  <si>
    <t>Grain mill products, starches and starch products</t>
  </si>
  <si>
    <t>Sugar beet and sugar beet seed, sugar cane</t>
  </si>
  <si>
    <t>Forage crops, incl. grazed biomass</t>
  </si>
  <si>
    <t>Soap and detergents, cleaning and polishing preparations, perfumes and toilet</t>
  </si>
  <si>
    <t>Not assignable</t>
  </si>
  <si>
    <t xml:space="preserve">CPA_B </t>
  </si>
  <si>
    <t>Salt and pure sodium chloride; sea water</t>
  </si>
  <si>
    <t>Other mining and quarrying products nec</t>
  </si>
  <si>
    <t>Gravel and sand, excl. mixtures of slag and similar industrial waste products, whether or not incorporating pebbles, gravel, shingle and flint for construction use</t>
  </si>
  <si>
    <t>Chalk and uncalcined dolomite</t>
  </si>
  <si>
    <t>Mixtures of slag and similar industrial waste products, whether or not incorporating pebbles, gravel, shingle and flint for construction use - recycling</t>
  </si>
  <si>
    <t>Manganese ores and concentrates</t>
  </si>
  <si>
    <t>Copper ores and concentrates</t>
  </si>
  <si>
    <t>Nickel ores and concentrates</t>
  </si>
  <si>
    <t>Other ores and concentrates  </t>
  </si>
  <si>
    <t>Aluminium ores and concentrates</t>
  </si>
  <si>
    <t>Lead ores and concentrates</t>
  </si>
  <si>
    <t>Zinc ores and concentrates</t>
  </si>
  <si>
    <t>Tin ores and concentrates</t>
  </si>
  <si>
    <t>Chromium ores and concentrates  </t>
  </si>
  <si>
    <t>Tungsten ores and concentrates  </t>
  </si>
  <si>
    <t>Titanium ores (Ilmenite) and concentrates  </t>
  </si>
  <si>
    <t>Tantalum ores and concentrates  </t>
  </si>
  <si>
    <t>Silver ores and concentrates</t>
  </si>
  <si>
    <t>Basic iron and steel and ferro-alloys</t>
  </si>
  <si>
    <t>Petroleum oils and oils obtained from bituminous minerals, crude</t>
  </si>
  <si>
    <t>Natural gas, liquefied or in gaseous state</t>
  </si>
  <si>
    <t>Bituminous or oil shale and tar sands</t>
  </si>
  <si>
    <t>Electrical energy</t>
  </si>
  <si>
    <t>Electricity, transmission and distribution services</t>
  </si>
  <si>
    <t>Manufactured gas; distribution services of gaseous fuels through mains</t>
  </si>
  <si>
    <t>Fertilisers and nitrogen compounds</t>
  </si>
  <si>
    <t>Processed nuclear fuel</t>
  </si>
  <si>
    <t>Paints, varnishes and similar coatings, printing ink and mastics</t>
  </si>
  <si>
    <t>Manufactured goods nec</t>
  </si>
  <si>
    <t>Other professional, scientific and technical services; veterinary services</t>
  </si>
  <si>
    <t>Plastics in primary forms</t>
  </si>
  <si>
    <t>Wood and of products of wood and cork, except furniture; articles of straw and plaiting</t>
  </si>
  <si>
    <t>Wood pellets</t>
  </si>
  <si>
    <t>Articles of paper and paperboard</t>
  </si>
  <si>
    <t>Cut, shaped and finished stone</t>
  </si>
  <si>
    <t>Silver, unwrought or in semi-manufactured forms, or in powder form</t>
  </si>
  <si>
    <t>Gold, unwrought or in semi-manufactured forms, or in powder form</t>
  </si>
  <si>
    <t>Platinum, unwrought or in semi-manufactured forms, or in powder form</t>
  </si>
  <si>
    <t>Casting services of iron</t>
  </si>
  <si>
    <t>Casting services of steel</t>
  </si>
  <si>
    <t>Other fabricated metal products, incl weapons and ammunition</t>
  </si>
  <si>
    <t>Machinery and equipment nec</t>
  </si>
  <si>
    <t>Nickel, unwrought; intermediate products of nickel metallurgy</t>
  </si>
  <si>
    <t>Tungsten products </t>
  </si>
  <si>
    <t>Other non-ferrous metal products</t>
  </si>
  <si>
    <t>Tantalum products </t>
  </si>
  <si>
    <t>Magnesium products </t>
  </si>
  <si>
    <t>Titanium products </t>
  </si>
  <si>
    <t>Manganese products </t>
  </si>
  <si>
    <t>Chromium products </t>
  </si>
  <si>
    <t>Cutlery, tools and general hardware  </t>
  </si>
  <si>
    <t>Steam generators, except central heating hot water boilers</t>
  </si>
  <si>
    <t>Computer programming, consultancy and related services; information services</t>
  </si>
  <si>
    <t>Ships and boats</t>
  </si>
  <si>
    <t>Creative, arts and entertainment services; library, archive, museum and other cultural services; gambling and betting services</t>
  </si>
  <si>
    <t xml:space="preserve"> Other porcelain and ceramic products</t>
  </si>
  <si>
    <t>Transport equipment nec, incl  military fighting vehicles</t>
  </si>
  <si>
    <t>iea_pro</t>
  </si>
  <si>
    <t>HARDCOAL</t>
  </si>
  <si>
    <t>Hard coal (if no detail)</t>
  </si>
  <si>
    <t>BROWN</t>
  </si>
  <si>
    <t>Brown coal (if no detail)</t>
  </si>
  <si>
    <t>ANTCOAL</t>
  </si>
  <si>
    <t>COKCOAL</t>
  </si>
  <si>
    <t>BITCOAL</t>
  </si>
  <si>
    <t>SUBCOAL</t>
  </si>
  <si>
    <t>PATFUEL</t>
  </si>
  <si>
    <t>OVENCOKE</t>
  </si>
  <si>
    <t>GASCOKE</t>
  </si>
  <si>
    <t>COALTAR</t>
  </si>
  <si>
    <t>GASWKSGS</t>
  </si>
  <si>
    <t>COKEOVGS</t>
  </si>
  <si>
    <t>BLFURGS</t>
  </si>
  <si>
    <t>OGASES</t>
  </si>
  <si>
    <t>PEATPROD</t>
  </si>
  <si>
    <t>OILSHALE</t>
  </si>
  <si>
    <t>NATGAS</t>
  </si>
  <si>
    <t>CRNGFEED</t>
  </si>
  <si>
    <t>Crude/NGL/feedstocks (if no detail)</t>
  </si>
  <si>
    <t>CRUDEOIL</t>
  </si>
  <si>
    <t>REFFEEDS</t>
  </si>
  <si>
    <t>ADDITIVE</t>
  </si>
  <si>
    <t>Additives/blending components</t>
  </si>
  <si>
    <t>NONCRUDE</t>
  </si>
  <si>
    <t>REFINGAS</t>
  </si>
  <si>
    <t>Liquefied petroleum gases (LPG)</t>
  </si>
  <si>
    <t>NONBIOGASO</t>
  </si>
  <si>
    <t>Motor gasoline excl. biofuels</t>
  </si>
  <si>
    <t>AVGAS</t>
  </si>
  <si>
    <t>JETGAS</t>
  </si>
  <si>
    <t>Gasoline type jet fuel</t>
  </si>
  <si>
    <t>NONBIOJETK</t>
  </si>
  <si>
    <t>OTHKERO</t>
  </si>
  <si>
    <t>NONBIODIES</t>
  </si>
  <si>
    <t>RESFUEL</t>
  </si>
  <si>
    <t>WHITESP</t>
  </si>
  <si>
    <t>LUBRIC</t>
  </si>
  <si>
    <t>PARWAX</t>
  </si>
  <si>
    <t>PETCOKE</t>
  </si>
  <si>
    <t>ONONSPEC</t>
  </si>
  <si>
    <t>Other oil products</t>
  </si>
  <si>
    <t>INDWASTE</t>
  </si>
  <si>
    <t>Industrial waste</t>
  </si>
  <si>
    <t>MUNWASTER</t>
  </si>
  <si>
    <t>Municipal waste (renewable)</t>
  </si>
  <si>
    <t>MUNWASTEN</t>
  </si>
  <si>
    <t>Municipal waste (non-renewable)</t>
  </si>
  <si>
    <t>PRIMSBIO</t>
  </si>
  <si>
    <t>BIOGASOL</t>
  </si>
  <si>
    <t>BIOJETKERO</t>
  </si>
  <si>
    <t>Bio jet kerosene</t>
  </si>
  <si>
    <t>OBIOLIQ</t>
  </si>
  <si>
    <t>RENEWNS</t>
  </si>
  <si>
    <t>Non-specified primary biofuels and waste</t>
  </si>
  <si>
    <t>MANGAS</t>
  </si>
  <si>
    <t>HEATNS</t>
  </si>
  <si>
    <t>Heat output from non-specified combustible fuels</t>
  </si>
  <si>
    <t>GEOTHERM</t>
  </si>
  <si>
    <t>SOLARPV</t>
  </si>
  <si>
    <t>Solar photovoltaics</t>
  </si>
  <si>
    <t>SOLARTH</t>
  </si>
  <si>
    <t>TIDE</t>
  </si>
  <si>
    <t>Tide, wave and ocean</t>
  </si>
  <si>
    <t>OTHER</t>
  </si>
  <si>
    <t>Other sources</t>
  </si>
  <si>
    <t>ELECTR</t>
  </si>
  <si>
    <t>MRENEW</t>
  </si>
  <si>
    <t>Memo: Renewables</t>
  </si>
  <si>
    <t>05.1</t>
  </si>
  <si>
    <t>05.2</t>
  </si>
  <si>
    <t>06.10.1</t>
  </si>
  <si>
    <t>06.2</t>
  </si>
  <si>
    <t>07.1</t>
  </si>
  <si>
    <t>07.21</t>
  </si>
  <si>
    <t>RME029-044</t>
  </si>
  <si>
    <t>RME045-048</t>
  </si>
  <si>
    <t>RME049-051</t>
  </si>
  <si>
    <t>08.91</t>
  </si>
  <si>
    <t>08.93</t>
  </si>
  <si>
    <t>08.99</t>
  </si>
  <si>
    <t>10.1</t>
  </si>
  <si>
    <t>10.2</t>
  </si>
  <si>
    <t>10.3</t>
  </si>
  <si>
    <t>10.4</t>
  </si>
  <si>
    <t>10.5</t>
  </si>
  <si>
    <t>10.6</t>
  </si>
  <si>
    <t>17.1</t>
  </si>
  <si>
    <t>17.2</t>
  </si>
  <si>
    <t>19.1</t>
  </si>
  <si>
    <t>Basic chemicals, fertilisers and nitrogen compounds, plastics and synthetic rubber in excl. fertilisers and nitrogen compounds, excl. plastics in primary forms</t>
  </si>
  <si>
    <t>20.15</t>
  </si>
  <si>
    <t>20.16</t>
  </si>
  <si>
    <t>20.2</t>
  </si>
  <si>
    <t>20.3</t>
  </si>
  <si>
    <t>20.4</t>
  </si>
  <si>
    <t>20.6</t>
  </si>
  <si>
    <t>22.1</t>
  </si>
  <si>
    <t>22.2</t>
  </si>
  <si>
    <t>23.1</t>
  </si>
  <si>
    <t>23.2</t>
  </si>
  <si>
    <t xml:space="preserve"> Refractory products</t>
  </si>
  <si>
    <t>23.3</t>
  </si>
  <si>
    <t xml:space="preserve"> Clay building materials</t>
  </si>
  <si>
    <t>23.4</t>
  </si>
  <si>
    <t>23.5</t>
  </si>
  <si>
    <t xml:space="preserve"> Cement, lime and plaster</t>
  </si>
  <si>
    <t>23.6</t>
  </si>
  <si>
    <t xml:space="preserve"> Articles of concrete, cement and plaster</t>
  </si>
  <si>
    <t>23.7</t>
  </si>
  <si>
    <t>23.9</t>
  </si>
  <si>
    <t>24.1-3</t>
  </si>
  <si>
    <t>RME097-099</t>
  </si>
  <si>
    <t>24.42</t>
  </si>
  <si>
    <t>RME101-103</t>
  </si>
  <si>
    <t>24.44</t>
  </si>
  <si>
    <t>RME105-112</t>
  </si>
  <si>
    <t>24.46</t>
  </si>
  <si>
    <t>Casting services of light metals</t>
  </si>
  <si>
    <t>Casting services of other non-ferrous metals</t>
  </si>
  <si>
    <t>25.1</t>
  </si>
  <si>
    <t>25.2</t>
  </si>
  <si>
    <t>25.3</t>
  </si>
  <si>
    <t>25.4, 25.9</t>
  </si>
  <si>
    <t>25.5</t>
  </si>
  <si>
    <t>Forging, pressing, stamping and roll-forming services of metal; powder metallurgy</t>
  </si>
  <si>
    <t>25.6</t>
  </si>
  <si>
    <t>Treatment and coating services of metals; machining</t>
  </si>
  <si>
    <t>nrg</t>
  </si>
  <si>
    <t>cpa28</t>
  </si>
  <si>
    <t>nrg_label</t>
  </si>
  <si>
    <t>AFC</t>
  </si>
  <si>
    <t>Available for final consumption</t>
  </si>
  <si>
    <t>DL</t>
  </si>
  <si>
    <t>Distribution losses</t>
  </si>
  <si>
    <t>FC_E</t>
  </si>
  <si>
    <t>Final consumption - energy use</t>
  </si>
  <si>
    <t>FC_IND_CON_E</t>
  </si>
  <si>
    <t>Final consumption - industry sector - construction - energy use</t>
  </si>
  <si>
    <t>FC_IND_CPC_E</t>
  </si>
  <si>
    <t>RME077-085</t>
  </si>
  <si>
    <t>Final consumption - industry sector - chemical and petrochemical - energy use</t>
  </si>
  <si>
    <t>FC_IND_E</t>
  </si>
  <si>
    <t>Final consumption - industry sector - energy use</t>
  </si>
  <si>
    <t>FC_IND_FBT_E</t>
  </si>
  <si>
    <t>Final consumption - industry sector - food, beverages and tobacco - energy use</t>
  </si>
  <si>
    <t>FC_IND_IS_E</t>
  </si>
  <si>
    <t>RME096_114_115</t>
  </si>
  <si>
    <t>Final consumption - industry sector - iron and steel - energy use</t>
  </si>
  <si>
    <t>FC_IND_MAC_E</t>
  </si>
  <si>
    <t>RME118-127</t>
  </si>
  <si>
    <t>Final consumption - industry sector - machinery - energy use</t>
  </si>
  <si>
    <t>FC_IND_MQ_E</t>
  </si>
  <si>
    <t>RME027-056</t>
  </si>
  <si>
    <t>Final consumption - industry sector - mining and quarrying - energy use</t>
  </si>
  <si>
    <t>FC_IND_NE</t>
  </si>
  <si>
    <t>Final consumption - industry sector - non-energy use</t>
  </si>
  <si>
    <t>FC_IND_NFM_E</t>
  </si>
  <si>
    <t>RME097-112_116_117</t>
  </si>
  <si>
    <t>Final consumption - industry sector - non-ferrous metals - energy use</t>
  </si>
  <si>
    <t>FC_IND_NMM_E</t>
  </si>
  <si>
    <t>Final consumption - industry sector - non-metallic minerals - energy use</t>
  </si>
  <si>
    <t>FC_IND_NSP_E</t>
  </si>
  <si>
    <t>RME086_087_133-139</t>
  </si>
  <si>
    <t>Final consumption - industry sector - not elsewhere specified - energy use</t>
  </si>
  <si>
    <t>FC_IND_PPP_E</t>
  </si>
  <si>
    <t>RME072-074</t>
  </si>
  <si>
    <t>Final consumption - industry sector - paper, pulp and printing - energy use</t>
  </si>
  <si>
    <t>FC_IND_TE_E</t>
  </si>
  <si>
    <t>RME128-132</t>
  </si>
  <si>
    <t>Final consumption - industry sector - transport equipment - energy use</t>
  </si>
  <si>
    <t>FC_IND_TL_E</t>
  </si>
  <si>
    <t>Final consumption - industry sector - textile and leather - energy use</t>
  </si>
  <si>
    <t>FC_IND_WP_E</t>
  </si>
  <si>
    <t>Final consumption - industry sector - wood and wood products - energy use</t>
  </si>
  <si>
    <t>FC_NE</t>
  </si>
  <si>
    <t>Final consumption - non-energy use</t>
  </si>
  <si>
    <t>FC_OTH_AF_E</t>
  </si>
  <si>
    <t>RME001-020</t>
  </si>
  <si>
    <t>Final consumption - other sectors - agriculture and forestry - energy use</t>
  </si>
  <si>
    <t>FC_OTH_CP_E</t>
  </si>
  <si>
    <t>RME140-182nec</t>
  </si>
  <si>
    <t>Final consumption - other sectors - commercial and public services - energy use</t>
  </si>
  <si>
    <t>FC_OTH_E</t>
  </si>
  <si>
    <t>Final consumption - other sectors - energy use</t>
  </si>
  <si>
    <t>FC_OTH_FISH_E</t>
  </si>
  <si>
    <t>Final consumption - other sectors - fishing - energy use</t>
  </si>
  <si>
    <t>FC_OTH_HH_E</t>
  </si>
  <si>
    <t>Final consumption - other sectors - households - energy use</t>
  </si>
  <si>
    <t>FC_OTH_NE</t>
  </si>
  <si>
    <t>Final consumption - other sectors - non-energy use</t>
  </si>
  <si>
    <t>w/o 41-43(RME146) construction</t>
  </si>
  <si>
    <t>FC_OTH_NSP_E</t>
  </si>
  <si>
    <t>Final consumption - other sectors - not elsewhere specified - energy use</t>
  </si>
  <si>
    <t>FC_TRA_DAVI_E</t>
  </si>
  <si>
    <t>Final consumption - transport sector - domestic aviation - energy use</t>
  </si>
  <si>
    <t>FC_TRA_DNAVI_E</t>
  </si>
  <si>
    <t>Final consumption - transport sector - domestic navigation - energy use</t>
  </si>
  <si>
    <t>FC_TRA_E</t>
  </si>
  <si>
    <t>Final consumption - transport sector - energy use</t>
  </si>
  <si>
    <t>FC_TRA_NE</t>
  </si>
  <si>
    <t>Final consumption - transport sector - non-energy use</t>
  </si>
  <si>
    <t>FC_TRA_NSP_E</t>
  </si>
  <si>
    <t>Final consumption - transport sector - not elsewhere specified - energy use</t>
  </si>
  <si>
    <t>FC_TRA_PIPE_E</t>
  </si>
  <si>
    <t>Final consumption - transport sector - pipeline transport - energy use</t>
  </si>
  <si>
    <t>FC_TRA_RAIL_E</t>
  </si>
  <si>
    <t>Final consumption - transport sector - rail - energy use</t>
  </si>
  <si>
    <t>FC_TRA_ROAD_E</t>
  </si>
  <si>
    <t>xRME150_HFCE</t>
  </si>
  <si>
    <t>Final consumption - transport sector - road - energy use</t>
  </si>
  <si>
    <t>36 % of diesel oil and 95 % of gasoline is allocated to household consumption, the remainder to RME150 Land transport</t>
  </si>
  <si>
    <t>FEC2020-2030</t>
  </si>
  <si>
    <t>Final energy consumption (Europe 2020-2030)</t>
  </si>
  <si>
    <t>GAE</t>
  </si>
  <si>
    <t>Gross available energy</t>
  </si>
  <si>
    <t>GEP</t>
  </si>
  <si>
    <t>Gross electricity production</t>
  </si>
  <si>
    <t>GEP_APCHP</t>
  </si>
  <si>
    <t>Gross electricity production - main activity producer electricity only</t>
  </si>
  <si>
    <t>GEP_APE</t>
  </si>
  <si>
    <t>Gross electricity production - main activity producer combined heat and power</t>
  </si>
  <si>
    <t>GEP_MAPCHP</t>
  </si>
  <si>
    <t>Gross electricity production - autoproducer electricity only</t>
  </si>
  <si>
    <t>GEP_MAPE</t>
  </si>
  <si>
    <t>Gross electricity production - autoproducer combined heat and power</t>
  </si>
  <si>
    <t>GHP</t>
  </si>
  <si>
    <t>Gross heat production</t>
  </si>
  <si>
    <t>GHP_APCHP</t>
  </si>
  <si>
    <t>Gross heat production - main activity producer combined heat and power</t>
  </si>
  <si>
    <t>GHP_APH</t>
  </si>
  <si>
    <t>Gross heat production - main activity producer heat only</t>
  </si>
  <si>
    <t>GHP_MAPCHP</t>
  </si>
  <si>
    <t>Gross heat production - autoproducer combined heat and power</t>
  </si>
  <si>
    <t>GHP_MAPH</t>
  </si>
  <si>
    <t>Gross heat production - autoproducer heat only</t>
  </si>
  <si>
    <t>GIC</t>
  </si>
  <si>
    <t>Gross inland consumption</t>
  </si>
  <si>
    <t>GIC2020-2030</t>
  </si>
  <si>
    <t>Gross inland consumption (Europe 2020-2030)</t>
  </si>
  <si>
    <t>IMP</t>
  </si>
  <si>
    <t>Imports</t>
  </si>
  <si>
    <t>INTAVI</t>
  </si>
  <si>
    <t>International aviation</t>
  </si>
  <si>
    <t>Karl: International bunkers according to the energy balance are allocated to exports. Bunkers according to EW-MFA are additionally added to imports, exports and domestic use.</t>
  </si>
  <si>
    <t>INTMARB</t>
  </si>
  <si>
    <t>International maritime bunkers</t>
  </si>
  <si>
    <t>NRG_BF_E</t>
  </si>
  <si>
    <t>Energy sector - blast furnaces - energy use</t>
  </si>
  <si>
    <t>NRG_BIOG_E</t>
  </si>
  <si>
    <t>Energy sector - gasification plants for biogas - energy use</t>
  </si>
  <si>
    <t>NRG_BKBPB_E</t>
  </si>
  <si>
    <t>Energy sector - brown coal briquettes and peat briquettes plants - energy use</t>
  </si>
  <si>
    <t>NRG_CL_E</t>
  </si>
  <si>
    <t>Energy sector - coal liquefaction plants - energy use</t>
  </si>
  <si>
    <t>NRG_CM_E</t>
  </si>
  <si>
    <t>RME022-023</t>
  </si>
  <si>
    <t>Energy sector - coal mines - energy use</t>
  </si>
  <si>
    <t>NRG_CO_E</t>
  </si>
  <si>
    <t>Energy sector - coke ovens - energy use</t>
  </si>
  <si>
    <t>NRG_CPP_E</t>
  </si>
  <si>
    <t>Energy sector - charcoal production plants - energy use</t>
  </si>
  <si>
    <t>NRG_E</t>
  </si>
  <si>
    <t>Energy sector - energy use</t>
  </si>
  <si>
    <t>NRG_EHG_E</t>
  </si>
  <si>
    <t>Energy sector - electricity and heat generation - energy use</t>
  </si>
  <si>
    <t>NRG_GTL_E</t>
  </si>
  <si>
    <t>Energy sector - gas-to-liquids plants - energy use</t>
  </si>
  <si>
    <t>NRG_GW_E</t>
  </si>
  <si>
    <t>Energy sector - gas works - energy use</t>
  </si>
  <si>
    <t>NRG_LNG_E</t>
  </si>
  <si>
    <t>Energy sector - liquefaction and regasification plants (LNG) - energy use</t>
  </si>
  <si>
    <t>NRG_NE</t>
  </si>
  <si>
    <t>Energy sector - non-energy use</t>
  </si>
  <si>
    <t>NRG_NI_E</t>
  </si>
  <si>
    <t>Energy sector - nuclear industry - energy use</t>
  </si>
  <si>
    <t>change compared to Karl who assigned it to other metals</t>
  </si>
  <si>
    <t>NRG_NSP_E</t>
  </si>
  <si>
    <t>Energy sector - not elsewhere specified - energy use</t>
  </si>
  <si>
    <t>NRG_OIL_NG_E</t>
  </si>
  <si>
    <t>RME024-026</t>
  </si>
  <si>
    <t>Energy sector - oil and natural gas extraction plants - energy use</t>
  </si>
  <si>
    <t>NRG_PF_E</t>
  </si>
  <si>
    <t>Energy sector - patent fuel plants - energy use</t>
  </si>
  <si>
    <t>NRG_PR_E</t>
  </si>
  <si>
    <t>Energy sector - petroleum refineries (oil refineries) - energy use</t>
  </si>
  <si>
    <t>NRGSUP</t>
  </si>
  <si>
    <t>Total energy supply</t>
  </si>
  <si>
    <t>PEC2020-2030</t>
  </si>
  <si>
    <t>Primary energy consumption (Europe 2020-2030)</t>
  </si>
  <si>
    <t>PPRD</t>
  </si>
  <si>
    <t>Primary production</t>
  </si>
  <si>
    <t>RCV_RCY</t>
  </si>
  <si>
    <t>Recovered and recycled products</t>
  </si>
  <si>
    <t>STATDIFF</t>
  </si>
  <si>
    <t>-OUT</t>
  </si>
  <si>
    <t>Statistical differences</t>
  </si>
  <si>
    <t>STK_CHG</t>
  </si>
  <si>
    <t>-CINV</t>
  </si>
  <si>
    <t>Change in stock</t>
  </si>
  <si>
    <t>TI_BF_E</t>
  </si>
  <si>
    <t>Transformation input - blast furnaces - energy use</t>
  </si>
  <si>
    <t>TI_BKBPB_E</t>
  </si>
  <si>
    <t>Transformation input - brown coal briquettes and peat briquettes plants - energy use</t>
  </si>
  <si>
    <t>TI_BNG_E</t>
  </si>
  <si>
    <t>Transformation input - for blended natural gas - energy use</t>
  </si>
  <si>
    <t>TI_CL_E</t>
  </si>
  <si>
    <t>Transformation input - coal liquefaction plants - energy use</t>
  </si>
  <si>
    <t>TI_CO_E</t>
  </si>
  <si>
    <t>Transformation input - coke ovens - energy use</t>
  </si>
  <si>
    <t>TI_CPP_E</t>
  </si>
  <si>
    <t>Transformation input - charcoal production plants - energy use</t>
  </si>
  <si>
    <t>TI_E</t>
  </si>
  <si>
    <t>Transformation input - energy use</t>
  </si>
  <si>
    <t>TI_EHG_APCHP_E</t>
  </si>
  <si>
    <t>xRME141_143</t>
  </si>
  <si>
    <t>Transformation input - electricity and heat generation - autoproducer combined heat and power - energy use</t>
  </si>
  <si>
    <t>TI_EHG_APE_E</t>
  </si>
  <si>
    <t>Transformation input - electricity and heat generation - autoproducer electricity only - energy use</t>
  </si>
  <si>
    <t>TI_EHG_APH_E</t>
  </si>
  <si>
    <t>Transformation input - electricity and heat generation - autoproducer heat only - energy use</t>
  </si>
  <si>
    <t>TI_EHG_DHEP</t>
  </si>
  <si>
    <t>Transformation input - electricity and heat generation - derived heat for electricity production</t>
  </si>
  <si>
    <t>TI_EHG_CB</t>
  </si>
  <si>
    <t>Transformation input - electricity and heat generation - charging batteries</t>
  </si>
  <si>
    <t>allocation to electricity, new item, 16.02.2024, correkt?</t>
  </si>
  <si>
    <t>TI_EHG_E</t>
  </si>
  <si>
    <t>Transformation input - electricity and heat generation - energy use</t>
  </si>
  <si>
    <t>TI_EHG_EB</t>
  </si>
  <si>
    <t>Transformation input - electricity and heat generation - electric boilers</t>
  </si>
  <si>
    <t>TI_EHG_EDHP</t>
  </si>
  <si>
    <t>Transformation input - electricity and heat generation - electrically driven heat pumps</t>
  </si>
  <si>
    <t>TI_EHG_EPS</t>
  </si>
  <si>
    <t>Transformation input - electricity and heat generation - electricity for pumped storage</t>
  </si>
  <si>
    <t>TI_EHG_MAPCHP_E</t>
  </si>
  <si>
    <t>Transformation input - electricity and heat generation - main activity producer combined heat and power - energy use</t>
  </si>
  <si>
    <t>TI_EHG_MAPE_E</t>
  </si>
  <si>
    <t>Transformation input - electricity and heat generation - main activity producer electricity only - energy use</t>
  </si>
  <si>
    <t>TI_EHG_MAPH_E</t>
  </si>
  <si>
    <t>Transformation input - electricity and heat generation - main activity producer heat only - energy use</t>
  </si>
  <si>
    <t>TI_GTL_E</t>
  </si>
  <si>
    <t>Transformation input - gas-to-liquids plants - energy use</t>
  </si>
  <si>
    <t>TI_GW_E</t>
  </si>
  <si>
    <t>Transformation input - gas works - energy use</t>
  </si>
  <si>
    <t>TI_LBB_E</t>
  </si>
  <si>
    <t>Transformation input - liquid biofuels blended - energy use</t>
  </si>
  <si>
    <t>TI_NE</t>
  </si>
  <si>
    <t>Transformation input - non-energy use</t>
  </si>
  <si>
    <t>TI_NRG_FC_IND_NE</t>
  </si>
  <si>
    <t>xRME076_141</t>
  </si>
  <si>
    <t>Transformation input, energy sector and final consumption in industry sector - non-energy use</t>
  </si>
  <si>
    <t>50% RME076, 50% RME141</t>
  </si>
  <si>
    <t>TI_NSP_E</t>
  </si>
  <si>
    <t>Transformation input - not elsewhere specified - energy use</t>
  </si>
  <si>
    <t>TI_PF_E</t>
  </si>
  <si>
    <t>Transformation input - patent fuel plants - energy use</t>
  </si>
  <si>
    <t>TI_RPI_BPI_E</t>
  </si>
  <si>
    <t>Transformation input - refineries and petrochemical industry - backflows from petrochemical industry - energy use</t>
  </si>
  <si>
    <t>TI_RPI_DU_E</t>
  </si>
  <si>
    <t>Transformation input - refineries and petrochemical industry - direct use - energy use</t>
  </si>
  <si>
    <t>TI_RPI_E</t>
  </si>
  <si>
    <t>Transformation input - refineries and petrochemical industry - energy use</t>
  </si>
  <si>
    <t>TI_RPI_IT_E</t>
  </si>
  <si>
    <t>Transformation input - refineries and petrochemical industry - interproduct transfers - energy use</t>
  </si>
  <si>
    <t>TI_RPI_PII_E</t>
  </si>
  <si>
    <t>Transformation input - refineries and petrochemical industry - petrochemical industry intake - energy use</t>
  </si>
  <si>
    <t>TI_RPI_PT_E</t>
  </si>
  <si>
    <t>Transformation input - refineries and petrochemical industry - products transferred - energy use</t>
  </si>
  <si>
    <t>TI_RPI_RI_E</t>
  </si>
  <si>
    <t>Transformation input - refineries and petrochemical industry - refinery intake - energy use</t>
  </si>
  <si>
    <t>Transformation output</t>
  </si>
  <si>
    <t>TO_BF</t>
  </si>
  <si>
    <t>Transformation output - blast furnaces</t>
  </si>
  <si>
    <t>TO_BKBPB</t>
  </si>
  <si>
    <t>Transformation output - brown coal briquettes and peat briquettes plants</t>
  </si>
  <si>
    <t>TO_BNG</t>
  </si>
  <si>
    <t>Transformation output - blended in natural gas</t>
  </si>
  <si>
    <t>TO_CL</t>
  </si>
  <si>
    <t>Transformation output - coal liquefaction plants</t>
  </si>
  <si>
    <t>TO_CO</t>
  </si>
  <si>
    <t>Transformation output - coke ovens</t>
  </si>
  <si>
    <t>TO_CPP</t>
  </si>
  <si>
    <t>Transformation output - charcoal production plants</t>
  </si>
  <si>
    <t>TO_EHG</t>
  </si>
  <si>
    <t>Transformation output - electricity and heat generation</t>
  </si>
  <si>
    <t>TO_EHG_APCHP</t>
  </si>
  <si>
    <t>Transformation output - electricity and heat generation - autoproducer combined heat and power</t>
  </si>
  <si>
    <t>TO_EHG_APE</t>
  </si>
  <si>
    <t>Transformation output - electricity and heat generation - autoproducer electricity only</t>
  </si>
  <si>
    <t>TO_EHG_APH</t>
  </si>
  <si>
    <t>Transformation output - electricity and heat generation - autoproducer heat only</t>
  </si>
  <si>
    <t>TO_EHG_EB</t>
  </si>
  <si>
    <t>Transformation output - electricity and heat generation - electric boilers</t>
  </si>
  <si>
    <t>TO_EHG_EDHP</t>
  </si>
  <si>
    <t>Transformation output - electricity and heat generation - electrically driven heat pumps</t>
  </si>
  <si>
    <t>TO_EHG_MAPCHP</t>
  </si>
  <si>
    <t>Transformation output - electricity and heat generation - main activity producer combined heat and power</t>
  </si>
  <si>
    <t>TO_EHG_MAPE</t>
  </si>
  <si>
    <t>Transformation output - electricity and heat generation - main activity producer electricity only</t>
  </si>
  <si>
    <t>TO_EHG_MAPH</t>
  </si>
  <si>
    <t>Transformation output - electricity and heat generation - main activity producer heat only</t>
  </si>
  <si>
    <t>TO_EHG_OTH</t>
  </si>
  <si>
    <t>Transformation output - electricity and heat generation - other sources</t>
  </si>
  <si>
    <t>TO_EHG_PH</t>
  </si>
  <si>
    <t>Transformation output - electricity and heat generation - pumped hydro</t>
  </si>
  <si>
    <t>TO_GTL</t>
  </si>
  <si>
    <t>Transformation output - gas-to-liquids plants</t>
  </si>
  <si>
    <t>TO_GW</t>
  </si>
  <si>
    <t>Transformation output - gas works</t>
  </si>
  <si>
    <t>TO_LBB</t>
  </si>
  <si>
    <t>Transformation output - liquid biofuels blended</t>
  </si>
  <si>
    <t>TO_NSP</t>
  </si>
  <si>
    <t>Transformation output - not elsewhere specified</t>
  </si>
  <si>
    <t>TO_PF</t>
  </si>
  <si>
    <t>Transformation output - patent fuel plants</t>
  </si>
  <si>
    <t>TO_RPI</t>
  </si>
  <si>
    <t>Transformation output - refineries and petrochemical industry</t>
  </si>
  <si>
    <t>TO_RPI_BKFLOW</t>
  </si>
  <si>
    <t>Transformation output - refineries and petrochemical industry - backflows</t>
  </si>
  <si>
    <t>TO_RPI_IT</t>
  </si>
  <si>
    <t>Transformation output - refineries and petrochemical industry - interproduct transfers</t>
  </si>
  <si>
    <t>TO_RPI_PIR</t>
  </si>
  <si>
    <t>Transformation output - refineries and petrochemical industry - petrochemical industry returns</t>
  </si>
  <si>
    <t>TO_RPI_PPR</t>
  </si>
  <si>
    <t>Transformation output - refineries and petrochemical industry - primary product receipts</t>
  </si>
  <si>
    <t>TO_RPI_PT</t>
  </si>
  <si>
    <t>Transformation output - refineries and petrochemical industry - products transferred</t>
  </si>
  <si>
    <t>TO_RPI_RO</t>
  </si>
  <si>
    <t>Transformation output - refineries and petrochemical industry - refinery output</t>
  </si>
  <si>
    <t>FEC_EED</t>
  </si>
  <si>
    <t>Final energy consumption - Energy Efficiency Directive</t>
  </si>
  <si>
    <t>GIC_EED</t>
  </si>
  <si>
    <t>Gross inland consumption - Energy Efficiency Directive</t>
  </si>
  <si>
    <t>PEC_EED</t>
  </si>
  <si>
    <t>Primary energy consumption - Energy Efficiency Directive</t>
  </si>
  <si>
    <t>BA100</t>
  </si>
  <si>
    <t>Other</t>
  </si>
  <si>
    <t>Batteries</t>
  </si>
  <si>
    <t>added 18.03.2024 (pyct)</t>
  </si>
  <si>
    <t>C0000X0350-0370</t>
  </si>
  <si>
    <t>Solid fossil fuels</t>
  </si>
  <si>
    <t>aggregate</t>
  </si>
  <si>
    <t>CPA_B05.1</t>
  </si>
  <si>
    <t>CPA_B05.2</t>
  </si>
  <si>
    <t>Waste</t>
  </si>
  <si>
    <t>FE</t>
  </si>
  <si>
    <t>Fossil energy</t>
  </si>
  <si>
    <t>G3200</t>
  </si>
  <si>
    <t>Liquified natural gas</t>
  </si>
  <si>
    <t>sub-aggregate</t>
  </si>
  <si>
    <t>Steam and air conditioning supply services</t>
  </si>
  <si>
    <t>O4000</t>
  </si>
  <si>
    <t>Oil and petroleum products</t>
  </si>
  <si>
    <t>O4000XBIO</t>
  </si>
  <si>
    <t>Oil and petroleum products (excluding biofuel portion)</t>
  </si>
  <si>
    <t xml:space="preserve">Crude oil, NGL, refinery feedstocks, additives and oxygenates and other hydrocarbons </t>
  </si>
  <si>
    <t>O4100_TOT_4200-4500XBIO</t>
  </si>
  <si>
    <t>Crude oil, NGL, refinery feedstocks, additives and oxygenates and other hydrocarbons (excluding biofuel portion)</t>
  </si>
  <si>
    <t>O4400X4410</t>
  </si>
  <si>
    <t>Additives and oxygenates (excluding biofuel portion)</t>
  </si>
  <si>
    <t>O4600</t>
  </si>
  <si>
    <t>Oil products</t>
  </si>
  <si>
    <t>O4600XBIO</t>
  </si>
  <si>
    <t>;</t>
  </si>
  <si>
    <t>Oil products (excluding biofuel portion)</t>
  </si>
  <si>
    <t>O4652</t>
  </si>
  <si>
    <t>Motor gasoline</t>
  </si>
  <si>
    <t>O4661</t>
  </si>
  <si>
    <t>Kerosene-type jet fuel</t>
  </si>
  <si>
    <t>O4671</t>
  </si>
  <si>
    <t>Gas oil and diesel oil</t>
  </si>
  <si>
    <t>O46711</t>
  </si>
  <si>
    <t>Road diesel</t>
  </si>
  <si>
    <t>O46712</t>
  </si>
  <si>
    <t>Heating and other gasoil</t>
  </si>
  <si>
    <t>O4681</t>
  </si>
  <si>
    <t>Fuel oil (low sulphur &lt;1%)</t>
  </si>
  <si>
    <t>O4682</t>
  </si>
  <si>
    <t>Fuel oil (high sulphur &gt;=1%)</t>
  </si>
  <si>
    <t>P1000</t>
  </si>
  <si>
    <t>Peat and peat products</t>
  </si>
  <si>
    <t>R5111</t>
  </si>
  <si>
    <t>R5210B</t>
  </si>
  <si>
    <t>Blended biogasoline</t>
  </si>
  <si>
    <t>R5210E</t>
  </si>
  <si>
    <t>Bioethanol</t>
  </si>
  <si>
    <t>R5210P</t>
  </si>
  <si>
    <t>Pure biogasoline</t>
  </si>
  <si>
    <t>R5220B</t>
  </si>
  <si>
    <t>Blended biodiesels</t>
  </si>
  <si>
    <t>R5220P</t>
  </si>
  <si>
    <t>Pure biodiesels</t>
  </si>
  <si>
    <t>Blended bio jet kerosene</t>
  </si>
  <si>
    <t>R5230P</t>
  </si>
  <si>
    <t>Pure bio jet kerosene</t>
  </si>
  <si>
    <t>RA130</t>
  </si>
  <si>
    <t>Pumped hydro power</t>
  </si>
  <si>
    <t>aggregated position RA100 is used, added 18.03.2024 (pyct)</t>
  </si>
  <si>
    <t>Solar</t>
  </si>
  <si>
    <t>RA600</t>
  </si>
  <si>
    <t>Ambient heat (heat pumps)</t>
  </si>
  <si>
    <t>CPA_B06.10.2</t>
  </si>
  <si>
    <t>W6100_6220</t>
  </si>
  <si>
    <t>Non-renewable waste</t>
  </si>
  <si>
    <t>own allocation, added 18.03.2024 (pyct), to check</t>
  </si>
  <si>
    <t>Fuel for conventional drive</t>
  </si>
  <si>
    <t>Fuel for electric drive</t>
  </si>
  <si>
    <t>rme_nrg</t>
  </si>
  <si>
    <t>Agriculture and forestry</t>
  </si>
  <si>
    <t>A01_02</t>
  </si>
  <si>
    <t>B05</t>
  </si>
  <si>
    <t>Oil and gas extrtaction</t>
  </si>
  <si>
    <t>B06</t>
  </si>
  <si>
    <t xml:space="preserve">Mining (excluding energy producing industries) and quarrying </t>
  </si>
  <si>
    <t>B07_08_09.9</t>
  </si>
  <si>
    <t>Food products, beverages and tobacco products</t>
  </si>
  <si>
    <t xml:space="preserve">CPA_C10-12 </t>
  </si>
  <si>
    <t>Textiles, wearing apparel and leather products</t>
  </si>
  <si>
    <t>Paper, pulp and printing</t>
  </si>
  <si>
    <t>C17_18</t>
  </si>
  <si>
    <t>C19.1</t>
  </si>
  <si>
    <t>C19.2</t>
  </si>
  <si>
    <t>Chemical and petrochemical - energeticand non energetic use</t>
  </si>
  <si>
    <t>C20_21</t>
  </si>
  <si>
    <t>Not elsewhere specified (Industry)</t>
  </si>
  <si>
    <t>C22_31_32</t>
  </si>
  <si>
    <t>Iron and steel incl. iron and steel casting</t>
  </si>
  <si>
    <t>C24.1-24.3_24.51_24.52</t>
  </si>
  <si>
    <t>Non-ferrous metals incl. NFM casting</t>
  </si>
  <si>
    <t>C24.4_24.53_24.54</t>
  </si>
  <si>
    <t>C24.46</t>
  </si>
  <si>
    <t>C25-28</t>
  </si>
  <si>
    <t>C29_30</t>
  </si>
  <si>
    <t>Commercial and public services</t>
  </si>
  <si>
    <t>C33_E36-U98</t>
  </si>
  <si>
    <t>D35.1</t>
  </si>
  <si>
    <t>D35.2</t>
  </si>
  <si>
    <t>D35.3</t>
  </si>
  <si>
    <t>Construction and construction works</t>
  </si>
  <si>
    <t>Railway transportation services  </t>
  </si>
  <si>
    <t>H49.1_49.2</t>
  </si>
  <si>
    <t>Road transport, transportation services via pipelines </t>
  </si>
  <si>
    <t>H49.3-49.5</t>
  </si>
  <si>
    <t>Public administration and defence services; compulsory social security services (military fuels</t>
  </si>
  <si>
    <t>mfa_bunk</t>
  </si>
  <si>
    <t>ind</t>
  </si>
  <si>
    <t>pro</t>
  </si>
  <si>
    <t>bunk_label</t>
  </si>
  <si>
    <t>cpa_rme</t>
  </si>
  <si>
    <t>diot</t>
  </si>
  <si>
    <t>cpa_sut</t>
  </si>
  <si>
    <t>cpa_agri</t>
  </si>
  <si>
    <t>rme_sbs</t>
  </si>
  <si>
    <t>rme_label_long</t>
  </si>
  <si>
    <t>CPA_A01.1-1.3</t>
  </si>
  <si>
    <t>Green leguminous vegetables,  vegetables and melons ( excl. edible roots and tubers and sugar beet)</t>
  </si>
  <si>
    <t>CPA_A01.4</t>
  </si>
  <si>
    <t>Dairy cattle, liv,e other cattle and buffaloes, live and their semen</t>
  </si>
  <si>
    <t>CPA_A01.9</t>
  </si>
  <si>
    <t>Farm manure and other agricultural waste products</t>
  </si>
  <si>
    <t>CPA_A01.6</t>
  </si>
  <si>
    <t>Agricultural and animal husbandry services (except veterinary services)</t>
  </si>
  <si>
    <t>CPA_B07</t>
  </si>
  <si>
    <t>Platinum MG</t>
  </si>
  <si>
    <t>Magnesium ores and concentrates  </t>
  </si>
  <si>
    <t>CPA_B08_09</t>
  </si>
  <si>
    <t>RME049a</t>
  </si>
  <si>
    <t>RME049b</t>
  </si>
  <si>
    <t xml:space="preserve"> Clays and kaolin</t>
  </si>
  <si>
    <t>Mining support services</t>
  </si>
  <si>
    <t>CPA_C10</t>
  </si>
  <si>
    <t xml:space="preserve"> Prepared feeds for farm animals</t>
  </si>
  <si>
    <t xml:space="preserve"> Prepared pet foods</t>
  </si>
  <si>
    <t>CPA_C11</t>
  </si>
  <si>
    <t>CPA_C12</t>
  </si>
  <si>
    <t>CPA_C13</t>
  </si>
  <si>
    <t>CPA_C14</t>
  </si>
  <si>
    <t>CPA_C15</t>
  </si>
  <si>
    <t>CPA_C17.1</t>
  </si>
  <si>
    <t>CPA_C17.2</t>
  </si>
  <si>
    <t>CPA_C19.1</t>
  </si>
  <si>
    <t>CPA_C19.2</t>
  </si>
  <si>
    <t>CPA_C22.1</t>
  </si>
  <si>
    <t>CPA_C22.2</t>
  </si>
  <si>
    <t>Light metals and non-ferrous casting</t>
  </si>
  <si>
    <t>CPA_C31</t>
  </si>
  <si>
    <t>CPA_C32</t>
  </si>
  <si>
    <t xml:space="preserve">Sewerage; waste collection, treatment and disposal activities; materials recovery; remediation activities and other waste management services </t>
  </si>
  <si>
    <t>Motor vehicles wholesale and repair services</t>
  </si>
  <si>
    <t>Wholesale, retail services</t>
  </si>
  <si>
    <t>Accomodation and food services</t>
  </si>
  <si>
    <t>Real estate services</t>
  </si>
  <si>
    <t>Legal and accounting services; services of head offices; management consulting services</t>
  </si>
  <si>
    <t>Social work services</t>
  </si>
  <si>
    <t xml:space="preserve">Services of households as employers; undifferentiated goods and services produced by households for own use </t>
  </si>
  <si>
    <t>RME181a</t>
  </si>
  <si>
    <t>RME181b</t>
  </si>
  <si>
    <t>Gross value added</t>
  </si>
  <si>
    <t>EXP_i</t>
  </si>
  <si>
    <t>Exports intra-EU</t>
  </si>
  <si>
    <t>EXP_e</t>
  </si>
  <si>
    <t>Exports extra-EU</t>
  </si>
  <si>
    <t>IMP_i</t>
  </si>
  <si>
    <t>Intra-EU imports</t>
  </si>
  <si>
    <t>IMP_e</t>
  </si>
  <si>
    <t>Extra-EU imports</t>
  </si>
  <si>
    <t>WN</t>
  </si>
  <si>
    <t>ieap_label</t>
  </si>
  <si>
    <t>rmh_label</t>
  </si>
  <si>
    <t>RM126.1</t>
  </si>
  <si>
    <t>cpa_detailed</t>
  </si>
  <si>
    <t>rm_label_long</t>
  </si>
  <si>
    <t xml:space="preserve">01.11.1-4, 01.12 </t>
  </si>
  <si>
    <t>Cereals (excl. cereals straw and husk), rice</t>
  </si>
  <si>
    <t>01.11.6, 01.13 (excl. 01.13.5, 01.13.7)</t>
  </si>
  <si>
    <t>01.11.7</t>
  </si>
  <si>
    <t>01.11.8, 01.11.9, 01.26.1</t>
  </si>
  <si>
    <t>01.13.5</t>
  </si>
  <si>
    <t>01.13.7, 01.14</t>
  </si>
  <si>
    <t>01.15</t>
  </si>
  <si>
    <t>01.16</t>
  </si>
  <si>
    <t>01.19.1, 01.11.5</t>
  </si>
  <si>
    <t>Forage crops</t>
  </si>
  <si>
    <t>01.2 (excl. 01.25.3, 01.26.1, 01.27, 01.28. 10.29)</t>
  </si>
  <si>
    <t>01.19.2, 01.19.3, 01.25.3, 01.27, 01.28, 01.29, 01.3</t>
  </si>
  <si>
    <t>01.41.1, 01.42</t>
  </si>
  <si>
    <t>Dairy cattle, live, other cattle and buffaloes, live and their semen</t>
  </si>
  <si>
    <t>01.41.2</t>
  </si>
  <si>
    <t>01.46</t>
  </si>
  <si>
    <t>1.43, 01.44, 01.45, 01.49</t>
  </si>
  <si>
    <t>01.47.1</t>
  </si>
  <si>
    <t>01.47.2</t>
  </si>
  <si>
    <t>01.6</t>
  </si>
  <si>
    <t>RM019.1</t>
  </si>
  <si>
    <t>02</t>
  </si>
  <si>
    <t>Fuel woord, other primary solid biofuels</t>
  </si>
  <si>
    <t>03</t>
  </si>
  <si>
    <t>Lignite, incl. peat for energetic use</t>
  </si>
  <si>
    <t>06.10.2</t>
  </si>
  <si>
    <t>07.29.11</t>
  </si>
  <si>
    <t>07.29.12</t>
  </si>
  <si>
    <t>07.29.13</t>
  </si>
  <si>
    <t>07.29.14.a</t>
  </si>
  <si>
    <t>Gold ores and concentrates</t>
  </si>
  <si>
    <t>07.29.14.b</t>
  </si>
  <si>
    <t>07.29.14.c</t>
  </si>
  <si>
    <t>Platinum MG ores and concentrates</t>
  </si>
  <si>
    <t>07.29.15.a</t>
  </si>
  <si>
    <t>07.29.15.b</t>
  </si>
  <si>
    <t>07.29.15.c</t>
  </si>
  <si>
    <t>07.29.19</t>
  </si>
  <si>
    <t>08.11.1</t>
  </si>
  <si>
    <t>08.11.2</t>
  </si>
  <si>
    <t>08.11.3</t>
  </si>
  <si>
    <t>08.11.4</t>
  </si>
  <si>
    <t>08.12.1, excl. 08.12.11500</t>
  </si>
  <si>
    <t xml:space="preserve"> Gravel and sand, mixtures of slag and similar industrial waste products, whether or not incorporating pebbles, gravel, shingle and flint for construction use excl silica</t>
  </si>
  <si>
    <t>08.12.11500</t>
  </si>
  <si>
    <t>08.12.2</t>
  </si>
  <si>
    <t>10.7, 10.8.</t>
  </si>
  <si>
    <t>10.9</t>
  </si>
  <si>
    <t>Briquettes and patent fuel</t>
  </si>
  <si>
    <t>19.20.11-12</t>
  </si>
  <si>
    <t>Briquettes, ovoids and similar solid fuels manufactured from coal and lignite</t>
  </si>
  <si>
    <t>Motor and aviation gasoline</t>
  </si>
  <si>
    <t>19.20.21</t>
  </si>
  <si>
    <t>Motor spirit (gasoline) and aviation spirit</t>
  </si>
  <si>
    <t>Kerosene</t>
  </si>
  <si>
    <t>19.20.23</t>
  </si>
  <si>
    <t>Spirit type and kerosene jet fuel</t>
  </si>
  <si>
    <t>Diesel</t>
  </si>
  <si>
    <t>19.20.25</t>
  </si>
  <si>
    <t>19.20.26-27</t>
  </si>
  <si>
    <t>Medium petroleum oils and other fuel oils</t>
  </si>
  <si>
    <t>Other petroleum products</t>
  </si>
  <si>
    <t>19.20.22, 19.20.24, 19.20.28-42</t>
  </si>
  <si>
    <t>20.1 (excl. 20.15, 20.16)</t>
  </si>
  <si>
    <t>Basic chemicals,excl. fertilisers and nitrogen compounds, excl. plastics in primary forms</t>
  </si>
  <si>
    <t>RM074.1</t>
  </si>
  <si>
    <t xml:space="preserve">20.3, 20.5 excl. 20.59.59.903 </t>
  </si>
  <si>
    <t>Paints, other chemical products, excl. biofuels</t>
  </si>
  <si>
    <t>Biofuels from agricultural biomass</t>
  </si>
  <si>
    <t>20.59.59.903</t>
  </si>
  <si>
    <t>Basic iron and steel and ferro-alloys (excl gazes)</t>
  </si>
  <si>
    <t>24.41.1, 24.41.4, 24.41.5, 24.41.9</t>
  </si>
  <si>
    <t>24.41.2</t>
  </si>
  <si>
    <t>24.41.3</t>
  </si>
  <si>
    <t>Aluminium, unwrought or in semi-manufactured forms, or in powder form</t>
  </si>
  <si>
    <t>24.43.11, 24.43.21, 24.43.9</t>
  </si>
  <si>
    <t>Lead, unwrought or in semi-manufactured forms, or in powder form</t>
  </si>
  <si>
    <t>24.43.12,  24.43.22, 24.43.23</t>
  </si>
  <si>
    <t>Zinc, unwrought or in semi-manufactured forms, or in powder form</t>
  </si>
  <si>
    <t>24.43.13, 24.43.24</t>
  </si>
  <si>
    <t>Tin, unwrought or in semi-manufactured forms, or in powder form</t>
  </si>
  <si>
    <t>Copper, unwrought or in semi-manufactured forms, or in powder form</t>
  </si>
  <si>
    <t xml:space="preserve">24.45.1, 24.45.2, 24.45.9 </t>
  </si>
  <si>
    <t>24.45.3</t>
  </si>
  <si>
    <t>Nuclear fuel/heat</t>
  </si>
  <si>
    <t>24.51, 24.52</t>
  </si>
  <si>
    <t>Casting services of iron and steel</t>
  </si>
  <si>
    <t>24.53, 24.54</t>
  </si>
  <si>
    <t>Casting services of light metals and other non ferrous metals</t>
  </si>
  <si>
    <t xml:space="preserve"> 25.7</t>
  </si>
  <si>
    <t>30.1</t>
  </si>
  <si>
    <t>30.2</t>
  </si>
  <si>
    <t>30.3</t>
  </si>
  <si>
    <t>30.4, 30.9</t>
  </si>
  <si>
    <t>32.1</t>
  </si>
  <si>
    <t>32.2</t>
  </si>
  <si>
    <t>32.3</t>
  </si>
  <si>
    <t>32.4</t>
  </si>
  <si>
    <t>32.5</t>
  </si>
  <si>
    <t>32.9</t>
  </si>
  <si>
    <t>35.1</t>
  </si>
  <si>
    <t>35.1A</t>
  </si>
  <si>
    <t>35.1B</t>
  </si>
  <si>
    <t>35.1C</t>
  </si>
  <si>
    <t>35.1D</t>
  </si>
  <si>
    <t>35.2</t>
  </si>
  <si>
    <t>Manufactured gas; distribution services of gaseous fuels through mains, excl. biogas from agricultural biomass, including green hydrogen and derivates</t>
  </si>
  <si>
    <t>RM125.2</t>
  </si>
  <si>
    <t>Biogas from agricultural biomass</t>
  </si>
  <si>
    <t>35.2B</t>
  </si>
  <si>
    <t>35.3</t>
  </si>
  <si>
    <t>35.3A</t>
  </si>
  <si>
    <t>35.3B</t>
  </si>
  <si>
    <t>RM126.4</t>
  </si>
  <si>
    <t>35.3C</t>
  </si>
  <si>
    <t>RM128.1</t>
  </si>
  <si>
    <t>37-39</t>
  </si>
  <si>
    <t>Energetic recovery of waste</t>
  </si>
  <si>
    <t>38.A</t>
  </si>
  <si>
    <t>41, 42, 43</t>
  </si>
  <si>
    <t>45</t>
  </si>
  <si>
    <t>46</t>
  </si>
  <si>
    <t>47</t>
  </si>
  <si>
    <t>49</t>
  </si>
  <si>
    <t>50</t>
  </si>
  <si>
    <t>51</t>
  </si>
  <si>
    <t>52</t>
  </si>
  <si>
    <t>53</t>
  </si>
  <si>
    <t>55, 56</t>
  </si>
  <si>
    <t>58</t>
  </si>
  <si>
    <t>59, 60</t>
  </si>
  <si>
    <t>61</t>
  </si>
  <si>
    <t>62, 63</t>
  </si>
  <si>
    <t>64</t>
  </si>
  <si>
    <t>65</t>
  </si>
  <si>
    <t>66</t>
  </si>
  <si>
    <t>68</t>
  </si>
  <si>
    <t>69, 70</t>
  </si>
  <si>
    <t>71</t>
  </si>
  <si>
    <t>72</t>
  </si>
  <si>
    <t>73</t>
  </si>
  <si>
    <t>74, 75</t>
  </si>
  <si>
    <t>77</t>
  </si>
  <si>
    <t>78</t>
  </si>
  <si>
    <t>79</t>
  </si>
  <si>
    <t>80, 81, 82</t>
  </si>
  <si>
    <t>84</t>
  </si>
  <si>
    <t>85</t>
  </si>
  <si>
    <t>86</t>
  </si>
  <si>
    <t>87, 88</t>
  </si>
  <si>
    <t>90, 91, 92</t>
  </si>
  <si>
    <t>93</t>
  </si>
  <si>
    <t>94</t>
  </si>
  <si>
    <t>95</t>
  </si>
  <si>
    <t>96</t>
  </si>
  <si>
    <t>97, 98</t>
  </si>
  <si>
    <t>99</t>
  </si>
  <si>
    <t>AGRI_FOREST</t>
  </si>
  <si>
    <t>01-02</t>
  </si>
  <si>
    <t>AUTOCHP</t>
  </si>
  <si>
    <t>67% RM124.1, 33% RM126.1</t>
  </si>
  <si>
    <t>Autoproducer CHP plants</t>
  </si>
  <si>
    <t>67% 35.1, 33 % 35.3</t>
  </si>
  <si>
    <t>AUTOELEC</t>
  </si>
  <si>
    <t>Autoproducer electricity plants</t>
  </si>
  <si>
    <t>AUTOHEAT</t>
  </si>
  <si>
    <t>Autoproducer heat plants</t>
  </si>
  <si>
    <t>BUNKERS_AVIATION</t>
  </si>
  <si>
    <t>International aviation bunkers</t>
  </si>
  <si>
    <t>BUNKAV</t>
  </si>
  <si>
    <t>BUNKERS_MARINE</t>
  </si>
  <si>
    <t>International marine bunkers</t>
  </si>
  <si>
    <t>BUNKNAV</t>
  </si>
  <si>
    <t>CHEMICAL</t>
  </si>
  <si>
    <t>Chemical and Petrochemical</t>
  </si>
  <si>
    <t>20,21</t>
  </si>
  <si>
    <t>COMMPUB</t>
  </si>
  <si>
    <t>RM123_127-128.2_130-132_136-164_166</t>
  </si>
  <si>
    <t>33, 36-39, 45-47, 52, 53, 55, 56, 58, 59, 60, 61, 62, 63, 64, 65, 66, 68, 69, 70, 71, 72, 73, 74, 75, 77, 78, 79, 80, 81, 82, 84 (excluding Class 8422), 85, 86, 87, 88, 90, 91, 92, 93, 94, 95, 96 and 99</t>
  </si>
  <si>
    <t>CONSTRUC</t>
  </si>
  <si>
    <t>41-43</t>
  </si>
  <si>
    <t>DISTLOSS</t>
  </si>
  <si>
    <t>DOMESAIR</t>
  </si>
  <si>
    <t>Domestic aviation</t>
  </si>
  <si>
    <t>DOMESNAV</t>
  </si>
  <si>
    <t>Domestic navigation</t>
  </si>
  <si>
    <t>EBIOGAS</t>
  </si>
  <si>
    <t>RM068-076</t>
  </si>
  <si>
    <t>Gasification plants for Biogases (Own use)</t>
  </si>
  <si>
    <t>20-21</t>
  </si>
  <si>
    <t>EBKB</t>
  </si>
  <si>
    <t>BKB/PB plants (Own use)</t>
  </si>
  <si>
    <t>19.2</t>
  </si>
  <si>
    <t>EBLASTFUR</t>
  </si>
  <si>
    <t>RM087_099</t>
  </si>
  <si>
    <t>Blast furnaces (Own use)</t>
  </si>
  <si>
    <t>24.1, 24.2, 24.3, 24.51, 24.52</t>
  </si>
  <si>
    <t>ECHARCOAL</t>
  </si>
  <si>
    <t>RM067.1-067.6</t>
  </si>
  <si>
    <t>Charcoal production plants (Own use)</t>
  </si>
  <si>
    <t>ECOALLIQ</t>
  </si>
  <si>
    <t>Coal Liquefaction Plants (Own use)</t>
  </si>
  <si>
    <t>ECOKEOVS</t>
  </si>
  <si>
    <t>Coke Ovens (Own use)</t>
  </si>
  <si>
    <t>EGASWKS</t>
  </si>
  <si>
    <t>Gas works (Own use)</t>
  </si>
  <si>
    <t>EGTL</t>
  </si>
  <si>
    <t>Gas-to-liquids plants (Own use)</t>
  </si>
  <si>
    <t>ELAUTOC</t>
  </si>
  <si>
    <t>Electricity output - autoproducer CHP plants</t>
  </si>
  <si>
    <t>OUTPUT</t>
  </si>
  <si>
    <t>ELAUTOE</t>
  </si>
  <si>
    <t>Electricity output - autoproducer electricity plants</t>
  </si>
  <si>
    <t>ELMAINC</t>
  </si>
  <si>
    <t>Electricity output - main activity producer CHP plants</t>
  </si>
  <si>
    <t>ELMAINE</t>
  </si>
  <si>
    <t>Electricity output - main activity producer electricity plants</t>
  </si>
  <si>
    <t>ELNG</t>
  </si>
  <si>
    <t>Liquefaction (LNG) / Regasification plants  (Own use)</t>
  </si>
  <si>
    <t>ELOUTPUT</t>
  </si>
  <si>
    <t>Electricity output</t>
  </si>
  <si>
    <t>EMINES</t>
  </si>
  <si>
    <t>Coal mines  (Own use)</t>
  </si>
  <si>
    <t>ENONSPEC</t>
  </si>
  <si>
    <t>50% RM067.1-067.6, 50% RM124.1</t>
  </si>
  <si>
    <t>Not elsewhere specified - energy industry own use</t>
  </si>
  <si>
    <t>50% 19.2, 50 % 35.1</t>
  </si>
  <si>
    <t>ENUC</t>
  </si>
  <si>
    <t>Nuclear industry  (Own use)</t>
  </si>
  <si>
    <t>24.4, 24.53, 24.54</t>
  </si>
  <si>
    <t>EOILGASEX</t>
  </si>
  <si>
    <t>RM023-025</t>
  </si>
  <si>
    <t>Oil and gas extraction  (Own use)</t>
  </si>
  <si>
    <t>EPATFUEL</t>
  </si>
  <si>
    <t>Patent fuel plants  (Own use)</t>
  </si>
  <si>
    <t>EPOWERPLT</t>
  </si>
  <si>
    <t>Electricity, CHP and heat plants  (Own use)</t>
  </si>
  <si>
    <t>EPUMPST</t>
  </si>
  <si>
    <t>Pumped storage plants  (Own use)</t>
  </si>
  <si>
    <t>EREFINER</t>
  </si>
  <si>
    <t>Oil Refineries  (Own use)</t>
  </si>
  <si>
    <t>EXPORTS</t>
  </si>
  <si>
    <t>FISHING</t>
  </si>
  <si>
    <t>Fishing</t>
  </si>
  <si>
    <t>FOODPRO</t>
  </si>
  <si>
    <t>RM049-058</t>
  </si>
  <si>
    <t>Food and Tobacco</t>
  </si>
  <si>
    <t>10, 11, 12</t>
  </si>
  <si>
    <t>HEATOUT</t>
  </si>
  <si>
    <t>Heat output</t>
  </si>
  <si>
    <t>HEAUTOC</t>
  </si>
  <si>
    <t>Heat output - Autoproducer CHP plants</t>
  </si>
  <si>
    <t>HEAUTOH</t>
  </si>
  <si>
    <t>Heat output - Autoproducer heat plants</t>
  </si>
  <si>
    <t>HEMAINC</t>
  </si>
  <si>
    <t>Heat output - Main activity producer CHP plants</t>
  </si>
  <si>
    <t>HEMAINH</t>
  </si>
  <si>
    <t>Heat output - Main activity producer heat plants</t>
  </si>
  <si>
    <t>IMPORTS</t>
  </si>
  <si>
    <t>INDPROD</t>
  </si>
  <si>
    <t>Indigenous production</t>
  </si>
  <si>
    <t>INONSPEC</t>
  </si>
  <si>
    <t>Not elsewhere specified - Industry</t>
  </si>
  <si>
    <t>IRONSTL</t>
  </si>
  <si>
    <t>MACHINE</t>
  </si>
  <si>
    <t>RM101-110</t>
  </si>
  <si>
    <t>25-28</t>
  </si>
  <si>
    <t>MAINCHP</t>
  </si>
  <si>
    <t>Main activity producer CHP plants</t>
  </si>
  <si>
    <t>67% 35.1, 33% 35.3</t>
  </si>
  <si>
    <t>MAINELEC</t>
  </si>
  <si>
    <t>Main activity producer electricity plants</t>
  </si>
  <si>
    <t>MAINHEAT</t>
  </si>
  <si>
    <t>Main activity producer heat plants</t>
  </si>
  <si>
    <t>MANUFACT</t>
  </si>
  <si>
    <t>Manufacturing</t>
  </si>
  <si>
    <t>MINING</t>
  </si>
  <si>
    <t>RM026-048</t>
  </si>
  <si>
    <t>Mining and Quarrying (excluding energy products)</t>
  </si>
  <si>
    <t>07, 08, 09.9</t>
  </si>
  <si>
    <t>NE_CHEM</t>
  </si>
  <si>
    <t>Non-energy use - chemical/petrochemical</t>
  </si>
  <si>
    <t>NE_CONSTRUC</t>
  </si>
  <si>
    <t>Non-energy use in construction</t>
  </si>
  <si>
    <t>NE_FOODPRO</t>
  </si>
  <si>
    <t>Non-energy use in food/beverages/tobacco</t>
  </si>
  <si>
    <t>10-12</t>
  </si>
  <si>
    <t>NE_IND</t>
  </si>
  <si>
    <t>Non-energy use in Industry</t>
  </si>
  <si>
    <t>NE_IND_TRANSF</t>
  </si>
  <si>
    <t>50% RM067.1-RM067.6, 50% RM124.1</t>
  </si>
  <si>
    <t>Non-energy use in Industry/Transformation/Energy</t>
  </si>
  <si>
    <t>50% 19.2, 50% 35.1</t>
  </si>
  <si>
    <t>NE_INONSPEC</t>
  </si>
  <si>
    <t>Non-energy use in industry not elsewhere specified</t>
  </si>
  <si>
    <t>NE_IRONSTL</t>
  </si>
  <si>
    <t>Non-energy use in Iron and steel</t>
  </si>
  <si>
    <t>NE_MACHINE</t>
  </si>
  <si>
    <t>Non-energy use in Machinery</t>
  </si>
  <si>
    <t>NE_MINING</t>
  </si>
  <si>
    <t>Non-energy use in Mining and quarrying</t>
  </si>
  <si>
    <t>NE_NONFERR</t>
  </si>
  <si>
    <t>RM088-098</t>
  </si>
  <si>
    <t>Non-energy use in Non-ferrous metals</t>
  </si>
  <si>
    <t>NE_NONMET</t>
  </si>
  <si>
    <t>RM079-086</t>
  </si>
  <si>
    <t>Non-energy use in Non-metallic minerals</t>
  </si>
  <si>
    <t>NE_OTHER</t>
  </si>
  <si>
    <t>Non-energy use in Other sectors</t>
  </si>
  <si>
    <t>NE_PAPERPRO</t>
  </si>
  <si>
    <t>RM063-065</t>
  </si>
  <si>
    <t>Non-energy use in Paper/pulp and printing</t>
  </si>
  <si>
    <t>17-18</t>
  </si>
  <si>
    <t>NE_TEXTILES</t>
  </si>
  <si>
    <t>RM059-061</t>
  </si>
  <si>
    <t>Non-energy use in Textiles and leather</t>
  </si>
  <si>
    <t>13-15</t>
  </si>
  <si>
    <t>NE_TOT</t>
  </si>
  <si>
    <t>Non-energy use</t>
  </si>
  <si>
    <t>NE_TRANS</t>
  </si>
  <si>
    <t>Non-energy use in Transport</t>
  </si>
  <si>
    <t>49.3, 49.4, 49.5</t>
  </si>
  <si>
    <t>NE_TRANSEQ</t>
  </si>
  <si>
    <t>RM111-115</t>
  </si>
  <si>
    <t>Non-energy use in Transport equipment</t>
  </si>
  <si>
    <t>29-30</t>
  </si>
  <si>
    <t>NE_WOODPRO</t>
  </si>
  <si>
    <t>Non-energy use in Wood and wood products</t>
  </si>
  <si>
    <t>NONFERR</t>
  </si>
  <si>
    <t>NONMET</t>
  </si>
  <si>
    <t>Final consumption - Other -  Not elsewhere specified</t>
  </si>
  <si>
    <t>PAPERPRO</t>
  </si>
  <si>
    <t>PIPELINE</t>
  </si>
  <si>
    <t>Pipeline transport</t>
  </si>
  <si>
    <t>RAIL</t>
  </si>
  <si>
    <t>Rail</t>
  </si>
  <si>
    <t>49.1, 49.2</t>
  </si>
  <si>
    <t>RESIDENT</t>
  </si>
  <si>
    <t>Residential</t>
  </si>
  <si>
    <t>ROAD</t>
  </si>
  <si>
    <t>Road</t>
  </si>
  <si>
    <t>STCHANAT</t>
  </si>
  <si>
    <t>Stock change (national territory)</t>
  </si>
  <si>
    <t>TBKB</t>
  </si>
  <si>
    <t>BKB/PB plants (Transformation)</t>
  </si>
  <si>
    <t>TBLASTFUR</t>
  </si>
  <si>
    <t>Blast furnaces (Transformation)</t>
  </si>
  <si>
    <t>TBLENDGAS</t>
  </si>
  <si>
    <t>For blended natural gas</t>
  </si>
  <si>
    <t>Transformation input - for blending with natural gas - energy use</t>
  </si>
  <si>
    <t>TBOILER</t>
  </si>
  <si>
    <t>Electric boilers (Transformation)</t>
  </si>
  <si>
    <t>TCHARCOAL</t>
  </si>
  <si>
    <t>Charcoal production plants (Transformation)</t>
  </si>
  <si>
    <t>TCOALLIQ</t>
  </si>
  <si>
    <t>Coal liquefaction plants (Transformation)</t>
  </si>
  <si>
    <t>TCOKEOVS</t>
  </si>
  <si>
    <t>Coke ovens (Transformation)</t>
  </si>
  <si>
    <t>TELE</t>
  </si>
  <si>
    <t>Chemical heat for electricity production</t>
  </si>
  <si>
    <t>TES</t>
  </si>
  <si>
    <t>TEXTILES</t>
  </si>
  <si>
    <t>Textile and leather</t>
  </si>
  <si>
    <t>TFC</t>
  </si>
  <si>
    <t>Total final consumption</t>
  </si>
  <si>
    <t>TGASWKS</t>
  </si>
  <si>
    <t>Gas works (Transformation)</t>
  </si>
  <si>
    <t>TGTL</t>
  </si>
  <si>
    <t>Gas-to-liquids (GTL) plants (Transformation)</t>
  </si>
  <si>
    <t>THEAT</t>
  </si>
  <si>
    <t>Heat pumps</t>
  </si>
  <si>
    <t>TNONSPEC</t>
  </si>
  <si>
    <t>Transformation - Not elsewhere specified</t>
  </si>
  <si>
    <t>TOTENGY</t>
  </si>
  <si>
    <t>Energy industry own use</t>
  </si>
  <si>
    <t>TOTIND</t>
  </si>
  <si>
    <t>Industry</t>
  </si>
  <si>
    <t>TOTTRANF</t>
  </si>
  <si>
    <t>Transformation processes</t>
  </si>
  <si>
    <t>TOTTRANS</t>
  </si>
  <si>
    <t>Transport</t>
  </si>
  <si>
    <t>TPATFUEL</t>
  </si>
  <si>
    <t>Patent fuel plants (Transformation)</t>
  </si>
  <si>
    <t>TPETCHEM</t>
  </si>
  <si>
    <t>Petrochemical plants (Transformation)</t>
  </si>
  <si>
    <t>TRANSEQ</t>
  </si>
  <si>
    <t>TRANSFERS</t>
  </si>
  <si>
    <t>Transfers</t>
  </si>
  <si>
    <t>TREFINER</t>
  </si>
  <si>
    <t>Oil refineries (Transformation)</t>
  </si>
  <si>
    <t>TRNONSPE</t>
  </si>
  <si>
    <t>Transport - Not elsewhere specified</t>
  </si>
  <si>
    <t>WOODPRO</t>
  </si>
  <si>
    <t>Wood and wood products</t>
  </si>
  <si>
    <t>RM001-018_019.1-019.2</t>
  </si>
  <si>
    <t>minus_OUT</t>
  </si>
  <si>
    <t>WW</t>
  </si>
  <si>
    <t>irp_published</t>
  </si>
  <si>
    <t>Russian Federation</t>
  </si>
  <si>
    <t>Serbia (and Montenegro)</t>
  </si>
  <si>
    <t>Sudan (former)</t>
  </si>
  <si>
    <t>Swaziland</t>
  </si>
  <si>
    <t>United States of America</t>
  </si>
  <si>
    <t>North Yemen</t>
  </si>
  <si>
    <t>South Yemen</t>
  </si>
  <si>
    <t>Yugoslavia SFR</t>
  </si>
  <si>
    <t>USSR</t>
  </si>
  <si>
    <t>Viet Nam</t>
  </si>
  <si>
    <t>US Virgin Islands</t>
  </si>
  <si>
    <t>Rep Congo</t>
  </si>
  <si>
    <t>CPA_D35.1</t>
  </si>
  <si>
    <t>CPA_B06.2</t>
  </si>
  <si>
    <t>CPA_D35.3</t>
  </si>
  <si>
    <t>CPA_C24.46</t>
  </si>
  <si>
    <t>CPA_B06.10.1</t>
  </si>
  <si>
    <t>CPA_A02.B</t>
  </si>
  <si>
    <t>CPA_C20.59.59.903</t>
  </si>
  <si>
    <t>CPA_D35.2-B</t>
  </si>
  <si>
    <t>CPA_D35.1A</t>
  </si>
  <si>
    <t>CPA_D35.3A</t>
  </si>
  <si>
    <t>CPA_D35.1B</t>
  </si>
  <si>
    <t>CPA_D35.3B</t>
  </si>
  <si>
    <t>CPA_D35.1C</t>
  </si>
  <si>
    <t>CPA_D35.1D</t>
  </si>
  <si>
    <t>CPA_D35.3C</t>
  </si>
  <si>
    <t>CPA_E38-A</t>
  </si>
  <si>
    <t>A 20, 21</t>
  </si>
  <si>
    <t>25, 26, 27, 28</t>
  </si>
  <si>
    <t>17, 18</t>
  </si>
  <si>
    <t>29, 30</t>
  </si>
  <si>
    <t>13, 14, 15</t>
  </si>
  <si>
    <t>01, 02</t>
  </si>
  <si>
    <t>33, 36, 37, 38, 39, 45, 46, 47, 52, 53, 55, 56, 58, 59, 60, 61, 62, 63, 64, 65, 66, 68, 69, 70, 71, 72, 73, 74, 75, 77, 78, 79, 80, 81, 82, 84 (excluding Class 8422), 85, 86, 87, 88, 90, 91, 92, 93, 94, 95, 96 and 99</t>
  </si>
  <si>
    <t>ieap rm RM022 but linked nrgp C0210 has rm RM021</t>
  </si>
  <si>
    <t>link nrgp is blank</t>
  </si>
  <si>
    <t>CHINV</t>
  </si>
  <si>
    <t>split later: 67% to 35.1, 33% to 35.3</t>
  </si>
  <si>
    <t>x35.1_35.3</t>
  </si>
  <si>
    <t>22, 31, 32</t>
  </si>
  <si>
    <t>psutp</t>
  </si>
  <si>
    <t>Refinery gas, ethane and LPG</t>
  </si>
  <si>
    <t>flow</t>
  </si>
  <si>
    <t>psut_ind</t>
  </si>
  <si>
    <t>method</t>
  </si>
  <si>
    <t>USE</t>
  </si>
  <si>
    <t>direct</t>
  </si>
  <si>
    <t>drop</t>
  </si>
  <si>
    <t>eb_share</t>
  </si>
  <si>
    <t>SUPPLY</t>
  </si>
  <si>
    <t>P13</t>
  </si>
  <si>
    <t>Natural gas without bio</t>
  </si>
  <si>
    <t>P14</t>
  </si>
  <si>
    <t>Motor spirit without bio</t>
  </si>
  <si>
    <t>P15</t>
  </si>
  <si>
    <t>Kerosenes and jet fuels without bio</t>
  </si>
  <si>
    <t>P16</t>
  </si>
  <si>
    <t>P17</t>
  </si>
  <si>
    <t>Transport diesel without bio</t>
  </si>
  <si>
    <t>P18</t>
  </si>
  <si>
    <t>Heating and other gasoil without bio</t>
  </si>
  <si>
    <t>P19</t>
  </si>
  <si>
    <t>P20</t>
  </si>
  <si>
    <t>P21</t>
  </si>
  <si>
    <t>P24</t>
  </si>
  <si>
    <t>Liquid biofuels — keep unmapped for now / ask Birte</t>
  </si>
  <si>
    <t>P26</t>
  </si>
  <si>
    <t>SD_IO</t>
  </si>
  <si>
    <t>Statistical discrepancy, not real product row</t>
  </si>
  <si>
    <t>A01</t>
  </si>
  <si>
    <t>crop and animal production</t>
  </si>
  <si>
    <t>A02</t>
  </si>
  <si>
    <t>forestry</t>
  </si>
  <si>
    <t>A03</t>
  </si>
  <si>
    <t>fishing</t>
  </si>
  <si>
    <t>mining split</t>
  </si>
  <si>
    <t>C10-C12</t>
  </si>
  <si>
    <t>food, beverages, tobacco</t>
  </si>
  <si>
    <t>C13-C15</t>
  </si>
  <si>
    <t>textiles, leather</t>
  </si>
  <si>
    <t>C16</t>
  </si>
  <si>
    <t>wood</t>
  </si>
  <si>
    <t>C17</t>
  </si>
  <si>
    <t>paper</t>
  </si>
  <si>
    <t>C18</t>
  </si>
  <si>
    <t>printing</t>
  </si>
  <si>
    <t>C19</t>
  </si>
  <si>
    <t>coke/refined petroleum split</t>
  </si>
  <si>
    <t>C20</t>
  </si>
  <si>
    <t>chemicals</t>
  </si>
  <si>
    <t>C21</t>
  </si>
  <si>
    <t>pharmaceuticals</t>
  </si>
  <si>
    <t>C22</t>
  </si>
  <si>
    <t>rubber/plastic</t>
  </si>
  <si>
    <t>C23</t>
  </si>
  <si>
    <t>non-metallic minerals</t>
  </si>
  <si>
    <t>C24</t>
  </si>
  <si>
    <t>basic metals split</t>
  </si>
  <si>
    <t>C25</t>
  </si>
  <si>
    <t>fabricated metals</t>
  </si>
  <si>
    <t>C26</t>
  </si>
  <si>
    <t>electronics</t>
  </si>
  <si>
    <t>C27</t>
  </si>
  <si>
    <t>electrical equipment</t>
  </si>
  <si>
    <t>C28</t>
  </si>
  <si>
    <t>machinery</t>
  </si>
  <si>
    <t>C29</t>
  </si>
  <si>
    <t>motor vehicles</t>
  </si>
  <si>
    <t>C30</t>
  </si>
  <si>
    <t>other transport equipment</t>
  </si>
  <si>
    <t>C31_C32</t>
  </si>
  <si>
    <t>furniture/other manufacturing</t>
  </si>
  <si>
    <t>electricity/gas/steam split</t>
  </si>
  <si>
    <t>F</t>
  </si>
  <si>
    <t>construction</t>
  </si>
  <si>
    <t>H49</t>
  </si>
  <si>
    <t>land transport split</t>
  </si>
  <si>
    <t>H50</t>
  </si>
  <si>
    <t>water transport</t>
  </si>
  <si>
    <t>H51</t>
  </si>
  <si>
    <t>air transport</t>
  </si>
  <si>
    <t>O</t>
  </si>
  <si>
    <t>public administration</t>
  </si>
  <si>
    <t>HH_HEAT</t>
  </si>
  <si>
    <t>household heating</t>
  </si>
  <si>
    <t>HH_TRA</t>
  </si>
  <si>
    <t>household transport</t>
  </si>
  <si>
    <t>HH_OTH</t>
  </si>
  <si>
    <t>other household use</t>
  </si>
  <si>
    <t>CH_INV_PA</t>
  </si>
  <si>
    <t>changes in inventories</t>
  </si>
  <si>
    <t>SD_SU</t>
  </si>
  <si>
    <t>ROW_ACT</t>
  </si>
  <si>
    <t>exports / rest of world use</t>
  </si>
  <si>
    <t>domestic output</t>
  </si>
  <si>
    <t>NRG_FLOW</t>
  </si>
  <si>
    <t>statistical discrepancy; check with Birte</t>
  </si>
  <si>
    <t>C33</t>
  </si>
  <si>
    <t>service sector</t>
  </si>
  <si>
    <t>E36</t>
  </si>
  <si>
    <t>E37-E39</t>
  </si>
  <si>
    <t>G45</t>
  </si>
  <si>
    <t>G46</t>
  </si>
  <si>
    <t>G47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</si>
  <si>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</si>
  <si>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</si>
  <si>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</si>
  <si>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</si>
  <si>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</si>
  <si>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</si>
  <si>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</si>
  <si>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</si>
  <si>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</si>
  <si>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</si>
  <si>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</t>
  </si>
  <si>
    <t>L68A</t>
  </si>
  <si>
    <t>M69_M70</t>
  </si>
  <si>
    <t>M71</t>
  </si>
  <si>
    <t>M72</t>
  </si>
  <si>
    <t>M73</t>
  </si>
  <si>
    <t>M74_M75</t>
  </si>
  <si>
    <t>N77</t>
  </si>
  <si>
    <t>N78</t>
  </si>
  <si>
    <t>N79</t>
  </si>
  <si>
    <t>N80-N82</t>
  </si>
  <si>
    <t>P</t>
  </si>
  <si>
    <t>Q86</t>
  </si>
  <si>
    <t>Q87_Q88</t>
  </si>
  <si>
    <t>R90-R92</t>
  </si>
  <si>
    <t>R93</t>
  </si>
  <si>
    <t>S94</t>
  </si>
  <si>
    <t>S95</t>
  </si>
  <si>
    <t>S96</t>
  </si>
  <si>
    <t>T</t>
  </si>
  <si>
    <t>aggregate/total row; drop to avoid double counting</t>
  </si>
  <si>
    <t>A</t>
  </si>
  <si>
    <t>G</t>
  </si>
  <si>
    <t>G-U_X_H</t>
  </si>
  <si>
    <t>H</t>
  </si>
  <si>
    <t>HH</t>
  </si>
  <si>
    <t>J</t>
  </si>
  <si>
    <t>K</t>
  </si>
  <si>
    <t>M</t>
  </si>
  <si>
    <t>N</t>
  </si>
  <si>
    <t>Q</t>
  </si>
  <si>
    <t>R</t>
  </si>
  <si>
    <t>S</t>
  </si>
  <si>
    <t>ENV</t>
  </si>
  <si>
    <t>imports / rest of world supply</t>
  </si>
  <si>
    <t>supply detail/aggregate row; drop</t>
  </si>
  <si>
    <t>Can you please try to map this to the rhm classification (see sheet for iea data)?</t>
  </si>
  <si>
    <t>Add additional column for mapping to rmh codes (see sheet iea)</t>
  </si>
  <si>
    <t>EPRD_OUSE</t>
  </si>
  <si>
    <t>N00</t>
  </si>
  <si>
    <t>N00_P00_R00</t>
  </si>
  <si>
    <t>N01</t>
  </si>
  <si>
    <t>N02</t>
  </si>
  <si>
    <t>N03</t>
  </si>
  <si>
    <t>N04</t>
  </si>
  <si>
    <t>N05</t>
  </si>
  <si>
    <t>N06</t>
  </si>
  <si>
    <t>N07</t>
  </si>
  <si>
    <t>P00</t>
  </si>
  <si>
    <t>P08</t>
  </si>
  <si>
    <t>P09</t>
  </si>
  <si>
    <t>P10</t>
  </si>
  <si>
    <t>P11</t>
  </si>
  <si>
    <t>P12</t>
  </si>
  <si>
    <t>P22</t>
  </si>
  <si>
    <t>P23</t>
  </si>
  <si>
    <t>P25</t>
  </si>
  <si>
    <t>P27</t>
  </si>
  <si>
    <t>R00</t>
  </si>
  <si>
    <t>R28</t>
  </si>
  <si>
    <t>R29</t>
  </si>
  <si>
    <t>R30</t>
  </si>
  <si>
    <t>R31</t>
  </si>
  <si>
    <t>not used</t>
  </si>
  <si>
    <t>xRM124.1_RM126.1</t>
  </si>
  <si>
    <t>xRM067.1-067.6_RM124.1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</si>
</sst>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Arial"/>
      <family val="2"/>
      <charset val="1"/>
    </font>
    <font>
      <b/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</font>
    <font>
      <sz val="11"/>
      <name val="Carlito"/>
    </font>
    <font>
      <b/>
      <sz val="11"/>
      <name val="Carlito"/>
    </font>
    <font>
      <i/>
      <sz val="11"/>
      <color rgb="FF374151"/>
      <name val="Carlito"/>
    </font>
    <font>
      <sz val="11"/>
      <color rgb="FFFF0000"/>
      <name val="Carlito"/>
    </font>
    <font>
      <i/>
      <sz val="11"/>
      <color theme="9"/>
      <name val="Carlito"/>
    </font>
    <font>
      <i/>
      <sz val="10"/>
      <color theme="9"/>
      <name val="Calibri"/>
      <family val="2"/>
    </font>
    <font>
      <sz val="10"/>
      <color theme="9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rlito"/>
    </font>
    <font>
      <b/>
      <sz val="10"/>
      <name val="Carlito"/>
    </font>
    <font>
      <sz val="10"/>
      <color theme="1"/>
      <name val="Carlito"/>
    </font>
    <font>
      <i/>
      <sz val="11"/>
      <color rgb="FF37415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89013336588644"/>
        <b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" fillId="0" borderId="0"/>
    <xf numFmtId="0" fontId="10" fillId="0" borderId="0"/>
  </cellStyleXfs>
  <cellXfs count="48">
    <xf numFmtId="0" fontId="0" fillId="0" borderId="0" xfId="0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0" fillId="2" borderId="0" xfId="0" applyFill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0" xfId="4"/>
    <xf numFmtId="0" fontId="4" fillId="0" borderId="0" xfId="4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3"/>
    <xf numFmtId="0" fontId="7" fillId="0" borderId="0" xfId="0" applyFont="1" applyAlignment="1">
      <alignment horizontal="center" vertical="top"/>
    </xf>
    <xf numFmtId="49" fontId="0" fillId="0" borderId="0" xfId="0" applyNumberFormat="1"/>
    <xf numFmtId="49" fontId="7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" fontId="0" fillId="0" borderId="0" xfId="0" quotePrefix="1" applyNumberFormat="1"/>
    <xf numFmtId="0" fontId="0" fillId="0" borderId="0" xfId="0" quotePrefix="1"/>
    <xf numFmtId="49" fontId="8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7" fillId="0" borderId="1" xfId="0" applyNumberFormat="1" applyFont="1" applyBorder="1" applyAlignment="1">
      <alignment horizontal="left" vertical="top"/>
    </xf>
    <xf numFmtId="0" fontId="0" fillId="3" borderId="0" xfId="0" applyFill="1"/>
    <xf numFmtId="0" fontId="2" fillId="0" borderId="0" xfId="1"/>
    <xf numFmtId="0" fontId="0" fillId="0" borderId="0" xfId="0" applyAlignment="1">
      <alignment horizontal="left"/>
    </xf>
    <xf numFmtId="0" fontId="10" fillId="0" borderId="0" xfId="11"/>
    <xf numFmtId="0" fontId="10" fillId="0" borderId="0" xfId="11" applyAlignment="1">
      <alignment wrapText="1"/>
    </xf>
    <xf numFmtId="0" fontId="11" fillId="0" borderId="0" xfId="11" applyFont="1" applyAlignment="1">
      <alignment wrapText="1"/>
    </xf>
    <xf numFmtId="0" fontId="12" fillId="4" borderId="0" xfId="11" applyFont="1" applyFill="1"/>
    <xf numFmtId="49" fontId="7" fillId="0" borderId="1" xfId="1" applyNumberFormat="1" applyFont="1" applyBorder="1" applyAlignment="1">
      <alignment horizontal="left" vertical="top"/>
    </xf>
    <xf numFmtId="0" fontId="16" fillId="0" borderId="0" xfId="1" applyFont="1" applyAlignment="1">
      <alignment horizontal="left"/>
    </xf>
    <xf numFmtId="0" fontId="2" fillId="0" borderId="0" xfId="1" applyAlignment="1">
      <alignment horizontal="left"/>
    </xf>
    <xf numFmtId="0" fontId="17" fillId="0" borderId="0" xfId="11" applyFont="1"/>
    <xf numFmtId="0" fontId="18" fillId="0" borderId="0" xfId="0" applyFont="1"/>
    <xf numFmtId="0" fontId="19" fillId="0" borderId="0" xfId="11" applyFont="1"/>
    <xf numFmtId="0" fontId="13" fillId="0" borderId="0" xfId="11" applyFont="1"/>
    <xf numFmtId="0" fontId="11" fillId="0" borderId="0" xfId="11" applyFont="1"/>
    <xf numFmtId="0" fontId="20" fillId="0" borderId="0" xfId="11" applyFont="1"/>
    <xf numFmtId="0" fontId="21" fillId="0" borderId="0" xfId="11" applyFont="1"/>
    <xf numFmtId="0" fontId="22" fillId="0" borderId="0" xfId="0" applyFont="1"/>
    <xf numFmtId="0" fontId="18" fillId="0" borderId="0" xfId="1" applyFont="1"/>
    <xf numFmtId="0" fontId="19" fillId="0" borderId="0" xfId="11" applyFont="1" applyAlignment="1">
      <alignment wrapText="1"/>
    </xf>
    <xf numFmtId="0" fontId="23" fillId="4" borderId="0" xfId="11" applyFont="1" applyFill="1"/>
    <xf numFmtId="0" fontId="15" fillId="3" borderId="0" xfId="0" applyFont="1" applyFill="1" applyAlignment="1">
      <alignment horizontal="left"/>
    </xf>
    <xf numFmtId="0" fontId="14" fillId="3" borderId="0" xfId="11" applyFont="1" applyFill="1"/>
  </cellXfs>
  <cellStyles count="12">
    <cellStyle name="Normal" xfId="0" builtinId="0"/>
    <cellStyle name="Normal 2" xfId="1" xr:uid="{00000000-0005-0000-0000-000006000000}"/>
    <cellStyle name="Normal 3" xfId="10" xr:uid="{4047524D-A77B-47B6-B007-50688BB9FBBE}"/>
    <cellStyle name="Normal 4" xfId="11" xr:uid="{2E4380E8-AFBF-48C5-8966-71808B6904B9}"/>
    <cellStyle name="Standard 2" xfId="2" xr:uid="{00000000-0005-0000-0000-000007000000}"/>
    <cellStyle name="Standard 3" xfId="3" xr:uid="{00000000-0005-0000-0000-000008000000}"/>
    <cellStyle name="Standard 3 2" xfId="4" xr:uid="{00000000-0005-0000-0000-000009000000}"/>
    <cellStyle name="Standard 4" xfId="5" xr:uid="{00000000-0005-0000-0000-00000A000000}"/>
    <cellStyle name="Standard 4 3 2" xfId="6" xr:uid="{00000000-0005-0000-0000-00000B000000}"/>
    <cellStyle name="Standard 7 2" xfId="7" xr:uid="{00000000-0005-0000-0000-00000C000000}"/>
    <cellStyle name="Standard 8" xfId="8" xr:uid="{00000000-0005-0000-0000-00000D000000}"/>
    <cellStyle name="Standard 9" xfId="9" xr:uid="{00000000-0005-0000-0000-00000E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irte%20Ewers\Python\data\IEA\iea_codes_Nabodita_v2.xlsx" TargetMode="External"/><Relationship Id="rId1" Type="http://schemas.openxmlformats.org/officeDocument/2006/relationships/externalLinkPath" Target="https://ifeu2.sharepoint.com/Users/Birte%20Ewers/Python/data/IEA/iea_codes_Nabodita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ea"/>
      <sheetName val="cpa"/>
      <sheetName val="ieap"/>
      <sheetName val="rmh"/>
      <sheetName val="nrgp"/>
      <sheetName val="cpa19.2"/>
      <sheetName val="geo2"/>
      <sheetName val="geo_April_2026"/>
      <sheetName val="geo"/>
      <sheetName val="ieap_old"/>
      <sheetName val="iea_old"/>
    </sheetNames>
    <sheetDataSet>
      <sheetData sheetId="0"/>
      <sheetData sheetId="1"/>
      <sheetData sheetId="2">
        <row r="3">
          <cell r="B3" t="str">
            <v>:</v>
          </cell>
        </row>
        <row r="4">
          <cell r="B4" t="str">
            <v>RM021</v>
          </cell>
        </row>
        <row r="5">
          <cell r="B5" t="str">
            <v>RM021</v>
          </cell>
        </row>
        <row r="6">
          <cell r="B6" t="str">
            <v>RM021</v>
          </cell>
        </row>
        <row r="7">
          <cell r="B7" t="str">
            <v>RM021</v>
          </cell>
        </row>
        <row r="8">
          <cell r="B8" t="str">
            <v>RM022</v>
          </cell>
        </row>
        <row r="9">
          <cell r="B9" t="str">
            <v>RM022</v>
          </cell>
        </row>
        <row r="10">
          <cell r="B10" t="str">
            <v>RM022</v>
          </cell>
        </row>
        <row r="11">
          <cell r="B11" t="str">
            <v>RM066</v>
          </cell>
        </row>
        <row r="12">
          <cell r="B12" t="str">
            <v>RM066</v>
          </cell>
        </row>
        <row r="13">
          <cell r="B13" t="str">
            <v>RM067.1</v>
          </cell>
        </row>
        <row r="14">
          <cell r="B14" t="str">
            <v>RM067.1</v>
          </cell>
        </row>
        <row r="15">
          <cell r="B15" t="str">
            <v>RM066</v>
          </cell>
        </row>
        <row r="16">
          <cell r="B16" t="str">
            <v>RM066</v>
          </cell>
        </row>
        <row r="17">
          <cell r="B17" t="str">
            <v>:</v>
          </cell>
        </row>
        <row r="18">
          <cell r="B18" t="str">
            <v>RM125.1</v>
          </cell>
        </row>
        <row r="19">
          <cell r="B19" t="str">
            <v>:</v>
          </cell>
        </row>
        <row r="20">
          <cell r="B20" t="str">
            <v>:</v>
          </cell>
        </row>
        <row r="21">
          <cell r="B21" t="str">
            <v>RM124.1</v>
          </cell>
        </row>
        <row r="22">
          <cell r="B22" t="str">
            <v>RM025</v>
          </cell>
        </row>
        <row r="23">
          <cell r="B23" t="str">
            <v>RM126.1</v>
          </cell>
        </row>
        <row r="24">
          <cell r="B24" t="str">
            <v>RM126.1</v>
          </cell>
        </row>
        <row r="25">
          <cell r="B25" t="str">
            <v>RM098</v>
          </cell>
        </row>
        <row r="26">
          <cell r="B26" t="str">
            <v>RM023</v>
          </cell>
        </row>
        <row r="27">
          <cell r="B27" t="str">
            <v>:</v>
          </cell>
        </row>
        <row r="28">
          <cell r="B28" t="str">
            <v>RM023</v>
          </cell>
        </row>
        <row r="29">
          <cell r="B29" t="str">
            <v>RM067.6</v>
          </cell>
        </row>
        <row r="30">
          <cell r="B30" t="str">
            <v>RM067.6</v>
          </cell>
        </row>
        <row r="31">
          <cell r="B31" t="str">
            <v>RM067.6</v>
          </cell>
        </row>
        <row r="32">
          <cell r="B32" t="str">
            <v>RM067.6</v>
          </cell>
        </row>
        <row r="33">
          <cell r="B33" t="str">
            <v>RM067.6</v>
          </cell>
        </row>
        <row r="34">
          <cell r="B34" t="str">
            <v>RM067.6</v>
          </cell>
        </row>
        <row r="35">
          <cell r="B35" t="str">
            <v>RM067.6</v>
          </cell>
        </row>
        <row r="36">
          <cell r="B36" t="str">
            <v>RM067.2</v>
          </cell>
        </row>
        <row r="37">
          <cell r="B37" t="str">
            <v>RM067.2</v>
          </cell>
        </row>
        <row r="38">
          <cell r="B38" t="str">
            <v>RM067.3</v>
          </cell>
        </row>
        <row r="39">
          <cell r="B39" t="str">
            <v>RM067.3</v>
          </cell>
        </row>
        <row r="40">
          <cell r="B40" t="str">
            <v>RM067.6</v>
          </cell>
        </row>
        <row r="41">
          <cell r="B41" t="str">
            <v>RM067.4</v>
          </cell>
        </row>
        <row r="42">
          <cell r="B42" t="str">
            <v>RM067.5</v>
          </cell>
        </row>
        <row r="43">
          <cell r="B43" t="str">
            <v>RM067.6</v>
          </cell>
        </row>
        <row r="44">
          <cell r="B44" t="str">
            <v>RM067.6</v>
          </cell>
        </row>
        <row r="45">
          <cell r="B45" t="str">
            <v>RM067.6</v>
          </cell>
        </row>
        <row r="46">
          <cell r="B46" t="str">
            <v>RM067.6</v>
          </cell>
        </row>
        <row r="47">
          <cell r="B47" t="str">
            <v>RM067.6</v>
          </cell>
        </row>
        <row r="48">
          <cell r="B48" t="str">
            <v>RM067.6</v>
          </cell>
        </row>
        <row r="49">
          <cell r="B49" t="str">
            <v>:</v>
          </cell>
        </row>
        <row r="50">
          <cell r="B50" t="str">
            <v>:</v>
          </cell>
        </row>
        <row r="51">
          <cell r="B51" t="str">
            <v>RM019.2</v>
          </cell>
        </row>
        <row r="52">
          <cell r="B52" t="str">
            <v>:</v>
          </cell>
        </row>
        <row r="53">
          <cell r="B53" t="str">
            <v>RM074.2</v>
          </cell>
        </row>
        <row r="54">
          <cell r="B54" t="str">
            <v>RM074.2</v>
          </cell>
        </row>
        <row r="55">
          <cell r="B55" t="str">
            <v>RM074.2</v>
          </cell>
        </row>
        <row r="56">
          <cell r="B56" t="str">
            <v>RM074.2</v>
          </cell>
        </row>
        <row r="57">
          <cell r="B57" t="str">
            <v>RM074.2</v>
          </cell>
        </row>
        <row r="58">
          <cell r="B58" t="str">
            <v>:</v>
          </cell>
        </row>
        <row r="59">
          <cell r="B59" t="str">
            <v>RM124.2</v>
          </cell>
        </row>
        <row r="60">
          <cell r="B60" t="str">
            <v>RM126.2</v>
          </cell>
        </row>
        <row r="61">
          <cell r="B61" t="str">
            <v>RM124.3</v>
          </cell>
        </row>
        <row r="62">
          <cell r="B62" t="str">
            <v>RM126.3</v>
          </cell>
        </row>
        <row r="63">
          <cell r="B63" t="str">
            <v>RM124.4</v>
          </cell>
        </row>
        <row r="64">
          <cell r="B64" t="str">
            <v>RM124.5</v>
          </cell>
        </row>
        <row r="65">
          <cell r="B65" t="str">
            <v>RM024</v>
          </cell>
        </row>
        <row r="66">
          <cell r="B66" t="str">
            <v>:</v>
          </cell>
        </row>
        <row r="67">
          <cell r="B67" t="str">
            <v>RM128.2</v>
          </cell>
        </row>
        <row r="68">
          <cell r="B68" t="str">
            <v>RM128.2</v>
          </cell>
        </row>
        <row r="69">
          <cell r="B69" t="str">
            <v>RM128.2</v>
          </cell>
        </row>
        <row r="70">
          <cell r="B70" t="str">
            <v>:</v>
          </cell>
        </row>
      </sheetData>
      <sheetData sheetId="3">
        <row r="3">
          <cell r="A3" t="str">
            <v>rmh</v>
          </cell>
          <cell r="B3" t="str">
            <v>rmh_label</v>
          </cell>
        </row>
        <row r="4">
          <cell r="A4" t="str">
            <v>RM001</v>
          </cell>
          <cell r="B4" t="str">
            <v>Cereals</v>
          </cell>
        </row>
        <row r="5">
          <cell r="A5" t="str">
            <v>RM002</v>
          </cell>
          <cell r="B5" t="str">
            <v>Green vegetables</v>
          </cell>
        </row>
        <row r="6">
          <cell r="A6" t="str">
            <v>RM003</v>
          </cell>
          <cell r="B6" t="str">
            <v>Dried vegetables/Pulses</v>
          </cell>
        </row>
        <row r="7">
          <cell r="A7" t="str">
            <v>RM004</v>
          </cell>
          <cell r="B7" t="str">
            <v>Soya, oil seeds</v>
          </cell>
        </row>
        <row r="8">
          <cell r="A8" t="str">
            <v>RM005</v>
          </cell>
          <cell r="B8" t="str">
            <v>Roots, tubers</v>
          </cell>
        </row>
        <row r="9">
          <cell r="A9" t="str">
            <v>RM006</v>
          </cell>
          <cell r="B9" t="str">
            <v>Sugar beet, cane</v>
          </cell>
        </row>
        <row r="10">
          <cell r="A10" t="str">
            <v>RM007</v>
          </cell>
          <cell r="B10" t="str">
            <v>Tobacco</v>
          </cell>
        </row>
        <row r="11">
          <cell r="A11" t="str">
            <v>RM008</v>
          </cell>
          <cell r="B11" t="str">
            <v>Fibre crops</v>
          </cell>
        </row>
        <row r="12">
          <cell r="A12" t="str">
            <v>RM009</v>
          </cell>
          <cell r="B12" t="str">
            <v>Forage crops, grazing</v>
          </cell>
        </row>
        <row r="13">
          <cell r="A13" t="str">
            <v>RM010</v>
          </cell>
          <cell r="B13" t="str">
            <v>Fruits</v>
          </cell>
        </row>
        <row r="14">
          <cell r="A14" t="str">
            <v>RM011</v>
          </cell>
          <cell r="B14" t="str">
            <v>Other crops</v>
          </cell>
        </row>
        <row r="15">
          <cell r="A15" t="str">
            <v>RM012</v>
          </cell>
          <cell r="B15" t="str">
            <v>Cattle</v>
          </cell>
        </row>
        <row r="16">
          <cell r="A16" t="str">
            <v>RM013</v>
          </cell>
          <cell r="B16" t="str">
            <v>Milk</v>
          </cell>
        </row>
        <row r="17">
          <cell r="A17" t="str">
            <v>RM014</v>
          </cell>
          <cell r="B17" t="str">
            <v>Swine</v>
          </cell>
        </row>
        <row r="18">
          <cell r="A18" t="str">
            <v>RM015</v>
          </cell>
          <cell r="B18" t="str">
            <v>Other animals</v>
          </cell>
        </row>
        <row r="19">
          <cell r="A19" t="str">
            <v>RM016</v>
          </cell>
          <cell r="B19" t="str">
            <v>Poultry</v>
          </cell>
        </row>
        <row r="20">
          <cell r="A20" t="str">
            <v>RM017</v>
          </cell>
          <cell r="B20" t="str">
            <v>Eggs</v>
          </cell>
        </row>
        <row r="21">
          <cell r="A21" t="str">
            <v>RM018</v>
          </cell>
          <cell r="B21" t="str">
            <v>Agricultural services</v>
          </cell>
        </row>
        <row r="22">
          <cell r="A22" t="str">
            <v>RM019.1</v>
          </cell>
          <cell r="B22" t="str">
            <v>Forestry</v>
          </cell>
        </row>
        <row r="23">
          <cell r="A23" t="str">
            <v>RM019.2</v>
          </cell>
          <cell r="B23" t="str">
            <v>Fuel woord, other primary solid biofuels</v>
          </cell>
        </row>
        <row r="24">
          <cell r="A24" t="str">
            <v>RM020</v>
          </cell>
          <cell r="B24" t="str">
            <v>Fish</v>
          </cell>
        </row>
        <row r="25">
          <cell r="A25" t="str">
            <v>RM021</v>
          </cell>
          <cell r="B25" t="str">
            <v>Hard coal</v>
          </cell>
        </row>
        <row r="26">
          <cell r="A26" t="str">
            <v>RM022</v>
          </cell>
          <cell r="B26" t="str">
            <v>Lignite</v>
          </cell>
        </row>
        <row r="27">
          <cell r="A27" t="str">
            <v>RM023</v>
          </cell>
          <cell r="B27" t="str">
            <v>Petroleum oils</v>
          </cell>
        </row>
        <row r="28">
          <cell r="A28" t="str">
            <v>RM024</v>
          </cell>
          <cell r="B28" t="str">
            <v>Oil shale, tar sands</v>
          </cell>
        </row>
        <row r="29">
          <cell r="A29" t="str">
            <v>RM025</v>
          </cell>
          <cell r="B29" t="str">
            <v>Natural gas</v>
          </cell>
        </row>
        <row r="30">
          <cell r="A30" t="str">
            <v>RM026</v>
          </cell>
          <cell r="B30" t="str">
            <v>Iron ores</v>
          </cell>
        </row>
        <row r="31">
          <cell r="A31" t="str">
            <v>RM027</v>
          </cell>
          <cell r="B31" t="str">
            <v>Uranium ores</v>
          </cell>
        </row>
        <row r="32">
          <cell r="A32" t="str">
            <v>RM028</v>
          </cell>
          <cell r="B32" t="str">
            <v>Copper ores</v>
          </cell>
        </row>
        <row r="33">
          <cell r="A33" t="str">
            <v>RM029</v>
          </cell>
          <cell r="B33" t="str">
            <v>Nickel ores</v>
          </cell>
        </row>
        <row r="34">
          <cell r="A34" t="str">
            <v>RM030</v>
          </cell>
          <cell r="B34" t="str">
            <v>Aluminium ores</v>
          </cell>
        </row>
        <row r="35">
          <cell r="A35" t="str">
            <v>RM031</v>
          </cell>
          <cell r="B35" t="str">
            <v>Gold ores</v>
          </cell>
        </row>
        <row r="36">
          <cell r="A36" t="str">
            <v>RM032</v>
          </cell>
          <cell r="B36" t="str">
            <v>Silver ores</v>
          </cell>
        </row>
        <row r="37">
          <cell r="A37" t="str">
            <v>RM033</v>
          </cell>
          <cell r="B37" t="str">
            <v>PGM ores</v>
          </cell>
        </row>
        <row r="38">
          <cell r="A38" t="str">
            <v>RM034</v>
          </cell>
          <cell r="B38" t="str">
            <v>Lead ores</v>
          </cell>
        </row>
        <row r="39">
          <cell r="A39" t="str">
            <v>RM035</v>
          </cell>
          <cell r="B39" t="str">
            <v>Zinc ores</v>
          </cell>
        </row>
        <row r="40">
          <cell r="A40" t="str">
            <v>RM036</v>
          </cell>
          <cell r="B40" t="str">
            <v>Tin ores</v>
          </cell>
        </row>
        <row r="41">
          <cell r="A41" t="str">
            <v>RM037</v>
          </cell>
          <cell r="B41" t="str">
            <v>Other ores</v>
          </cell>
        </row>
        <row r="42">
          <cell r="A42" t="str">
            <v>RM038</v>
          </cell>
          <cell r="B42" t="str">
            <v>Building stone</v>
          </cell>
        </row>
        <row r="43">
          <cell r="A43" t="str">
            <v>RM039</v>
          </cell>
          <cell r="B43" t="str">
            <v>Limestone, gypsum</v>
          </cell>
        </row>
        <row r="44">
          <cell r="A44" t="str">
            <v>RM040</v>
          </cell>
          <cell r="B44" t="str">
            <v>Chalk, dolomite</v>
          </cell>
        </row>
        <row r="45">
          <cell r="A45" t="str">
            <v>RM041</v>
          </cell>
          <cell r="B45" t="str">
            <v>Slate</v>
          </cell>
        </row>
        <row r="46">
          <cell r="A46" t="str">
            <v>RM042</v>
          </cell>
          <cell r="B46" t="str">
            <v>Gravel and sand</v>
          </cell>
        </row>
        <row r="47">
          <cell r="A47" t="str">
            <v>RM043</v>
          </cell>
          <cell r="B47" t="str">
            <v>Silica</v>
          </cell>
        </row>
        <row r="48">
          <cell r="A48" t="str">
            <v>RM044</v>
          </cell>
          <cell r="B48" t="str">
            <v>Clays, kaolin</v>
          </cell>
        </row>
        <row r="49">
          <cell r="A49" t="str">
            <v>RM045</v>
          </cell>
          <cell r="B49" t="str">
            <v>Chemical and fertiliser minerals</v>
          </cell>
        </row>
        <row r="50">
          <cell r="A50" t="str">
            <v>RM046</v>
          </cell>
          <cell r="B50" t="str">
            <v>Salt</v>
          </cell>
        </row>
        <row r="51">
          <cell r="A51" t="str">
            <v>RM047</v>
          </cell>
          <cell r="B51" t="str">
            <v>Mining nec</v>
          </cell>
        </row>
        <row r="52">
          <cell r="A52" t="str">
            <v>RM048</v>
          </cell>
          <cell r="B52" t="str">
            <v>Mining support</v>
          </cell>
        </row>
        <row r="53">
          <cell r="A53" t="str">
            <v>RM049</v>
          </cell>
          <cell r="B53" t="str">
            <v>Preserved meat</v>
          </cell>
        </row>
        <row r="54">
          <cell r="A54" t="str">
            <v>RM050</v>
          </cell>
          <cell r="B54" t="str">
            <v>Processed fish</v>
          </cell>
        </row>
        <row r="55">
          <cell r="A55" t="str">
            <v>RM051</v>
          </cell>
          <cell r="B55" t="str">
            <v>Processed fruit, vegetables</v>
          </cell>
        </row>
        <row r="56">
          <cell r="A56" t="str">
            <v>RM052</v>
          </cell>
          <cell r="B56" t="str">
            <v>Oils</v>
          </cell>
        </row>
        <row r="57">
          <cell r="A57" t="str">
            <v>RM053</v>
          </cell>
          <cell r="B57" t="str">
            <v>Dairy</v>
          </cell>
        </row>
        <row r="58">
          <cell r="A58" t="str">
            <v>RM054</v>
          </cell>
          <cell r="B58" t="str">
            <v>Grain, starches</v>
          </cell>
        </row>
        <row r="59">
          <cell r="A59" t="str">
            <v>RM055</v>
          </cell>
          <cell r="B59" t="str">
            <v>Other food</v>
          </cell>
        </row>
        <row r="60">
          <cell r="A60" t="str">
            <v>RM056</v>
          </cell>
          <cell r="B60" t="str">
            <v>Prepared animal feed</v>
          </cell>
        </row>
        <row r="61">
          <cell r="A61" t="str">
            <v>RM057</v>
          </cell>
          <cell r="B61" t="str">
            <v>Beverages</v>
          </cell>
        </row>
        <row r="62">
          <cell r="A62" t="str">
            <v>RM058</v>
          </cell>
          <cell r="B62" t="str">
            <v>Tobacco products</v>
          </cell>
        </row>
        <row r="63">
          <cell r="A63" t="str">
            <v>RM059</v>
          </cell>
          <cell r="B63" t="str">
            <v>Textiles</v>
          </cell>
        </row>
        <row r="64">
          <cell r="A64" t="str">
            <v>RM060</v>
          </cell>
          <cell r="B64" t="str">
            <v>Wearing apparel</v>
          </cell>
        </row>
        <row r="65">
          <cell r="A65" t="str">
            <v>RM061</v>
          </cell>
          <cell r="B65" t="str">
            <v>Leather</v>
          </cell>
        </row>
        <row r="66">
          <cell r="A66" t="str">
            <v>RM062</v>
          </cell>
          <cell r="B66" t="str">
            <v>Wood</v>
          </cell>
        </row>
        <row r="67">
          <cell r="A67" t="str">
            <v>RM063</v>
          </cell>
          <cell r="B67" t="str">
            <v>Pulp, paper and paperboard</v>
          </cell>
        </row>
        <row r="68">
          <cell r="A68" t="str">
            <v>RM064</v>
          </cell>
          <cell r="B68" t="str">
            <v>Articles of paper</v>
          </cell>
        </row>
        <row r="69">
          <cell r="A69" t="str">
            <v>RM065</v>
          </cell>
          <cell r="B69" t="str">
            <v>Printing and recording</v>
          </cell>
        </row>
        <row r="70">
          <cell r="A70" t="str">
            <v>RM066</v>
          </cell>
          <cell r="B70" t="str">
            <v>Coke oven products</v>
          </cell>
        </row>
        <row r="71">
          <cell r="A71" t="str">
            <v>RM067.1</v>
          </cell>
          <cell r="B71" t="str">
            <v>Briquettes and patent fuel</v>
          </cell>
        </row>
        <row r="72">
          <cell r="A72" t="str">
            <v>RM067.2</v>
          </cell>
          <cell r="B72" t="str">
            <v>Motor and aviation gasoline</v>
          </cell>
        </row>
        <row r="73">
          <cell r="A73" t="str">
            <v>RM067.3</v>
          </cell>
          <cell r="B73" t="str">
            <v>Kerosene</v>
          </cell>
        </row>
        <row r="74">
          <cell r="A74" t="str">
            <v>RM067.4</v>
          </cell>
          <cell r="B74" t="str">
            <v>Diesel</v>
          </cell>
        </row>
        <row r="75">
          <cell r="A75" t="str">
            <v>RM067.5</v>
          </cell>
          <cell r="B75" t="str">
            <v>Fuel oil</v>
          </cell>
        </row>
        <row r="76">
          <cell r="A76" t="str">
            <v>RM067.6</v>
          </cell>
          <cell r="B76" t="str">
            <v>Other petroleum products</v>
          </cell>
        </row>
        <row r="77">
          <cell r="A77" t="str">
            <v>RM068</v>
          </cell>
          <cell r="B77" t="str">
            <v>Basic chemicals</v>
          </cell>
        </row>
        <row r="78">
          <cell r="A78" t="str">
            <v>RM069</v>
          </cell>
          <cell r="B78" t="str">
            <v>Fertilisers</v>
          </cell>
        </row>
        <row r="79">
          <cell r="A79" t="str">
            <v>RM070</v>
          </cell>
          <cell r="B79" t="str">
            <v>Primary plastics</v>
          </cell>
        </row>
        <row r="80">
          <cell r="A80" t="str">
            <v>RM071</v>
          </cell>
          <cell r="B80" t="str">
            <v>Pesticides</v>
          </cell>
        </row>
        <row r="81">
          <cell r="A81" t="str">
            <v>RM072</v>
          </cell>
          <cell r="B81" t="str">
            <v>Paints</v>
          </cell>
        </row>
        <row r="82">
          <cell r="A82" t="str">
            <v>RM073</v>
          </cell>
          <cell r="B82" t="str">
            <v>Detergents</v>
          </cell>
        </row>
        <row r="83">
          <cell r="A83" t="str">
            <v>RM074.1</v>
          </cell>
          <cell r="B83" t="str">
            <v>Other chemicals</v>
          </cell>
        </row>
        <row r="84">
          <cell r="A84" t="str">
            <v>RM074.2</v>
          </cell>
          <cell r="B84" t="str">
            <v>Biofuels from agricultural biomass</v>
          </cell>
        </row>
        <row r="85">
          <cell r="A85" t="str">
            <v>RM075</v>
          </cell>
          <cell r="B85" t="str">
            <v>Man-made fibres</v>
          </cell>
        </row>
        <row r="86">
          <cell r="A86" t="str">
            <v>RM076</v>
          </cell>
          <cell r="B86" t="str">
            <v>Pharmaceuticals</v>
          </cell>
        </row>
        <row r="87">
          <cell r="A87" t="str">
            <v>RM077</v>
          </cell>
          <cell r="B87" t="str">
            <v>Rubber</v>
          </cell>
        </row>
        <row r="88">
          <cell r="A88" t="str">
            <v>RM078</v>
          </cell>
          <cell r="B88" t="str">
            <v>Plastic products</v>
          </cell>
        </row>
        <row r="89">
          <cell r="A89" t="str">
            <v>RM079</v>
          </cell>
          <cell r="B89" t="str">
            <v>Glass</v>
          </cell>
        </row>
        <row r="90">
          <cell r="A90" t="str">
            <v>RM080</v>
          </cell>
          <cell r="B90" t="str">
            <v>Refractory products</v>
          </cell>
        </row>
        <row r="91">
          <cell r="A91" t="str">
            <v>RM081</v>
          </cell>
          <cell r="B91" t="str">
            <v>Clay products</v>
          </cell>
        </row>
        <row r="92">
          <cell r="A92" t="str">
            <v>RM082</v>
          </cell>
          <cell r="B92" t="str">
            <v>Ceramic products nec</v>
          </cell>
        </row>
        <row r="93">
          <cell r="A93" t="str">
            <v>RM083</v>
          </cell>
          <cell r="B93" t="str">
            <v>Cement, lime, plaster</v>
          </cell>
        </row>
        <row r="94">
          <cell r="A94" t="str">
            <v>RM084</v>
          </cell>
          <cell r="B94" t="str">
            <v xml:space="preserve">Articles of cement </v>
          </cell>
        </row>
        <row r="95">
          <cell r="A95" t="str">
            <v>RM085</v>
          </cell>
          <cell r="B95" t="str">
            <v>Shaped stone</v>
          </cell>
        </row>
        <row r="96">
          <cell r="A96" t="str">
            <v>RM086</v>
          </cell>
          <cell r="B96" t="str">
            <v>Mineral products nec</v>
          </cell>
        </row>
        <row r="97">
          <cell r="A97" t="str">
            <v>RM087</v>
          </cell>
          <cell r="B97" t="str">
            <v>Iron and steel</v>
          </cell>
        </row>
        <row r="98">
          <cell r="A98" t="str">
            <v>RM088</v>
          </cell>
          <cell r="B98" t="str">
            <v>Silver</v>
          </cell>
        </row>
        <row r="99">
          <cell r="A99" t="str">
            <v>RM089</v>
          </cell>
          <cell r="B99" t="str">
            <v>Gold</v>
          </cell>
        </row>
        <row r="100">
          <cell r="A100" t="str">
            <v>RM090</v>
          </cell>
          <cell r="B100" t="str">
            <v>Platinum</v>
          </cell>
        </row>
        <row r="101">
          <cell r="A101" t="str">
            <v>RM091</v>
          </cell>
          <cell r="B101" t="str">
            <v>Aluminium</v>
          </cell>
        </row>
        <row r="102">
          <cell r="A102" t="str">
            <v>RM092</v>
          </cell>
          <cell r="B102" t="str">
            <v>Lead</v>
          </cell>
        </row>
        <row r="103">
          <cell r="A103" t="str">
            <v>RM093</v>
          </cell>
          <cell r="B103" t="str">
            <v>Zinc</v>
          </cell>
        </row>
        <row r="104">
          <cell r="A104" t="str">
            <v>RM094</v>
          </cell>
          <cell r="B104" t="str">
            <v>Tin</v>
          </cell>
        </row>
        <row r="105">
          <cell r="A105" t="str">
            <v>RM095</v>
          </cell>
          <cell r="B105" t="str">
            <v>Copper</v>
          </cell>
        </row>
        <row r="106">
          <cell r="A106" t="str">
            <v>RM096</v>
          </cell>
          <cell r="B106" t="str">
            <v>Nickel</v>
          </cell>
        </row>
        <row r="107">
          <cell r="A107" t="str">
            <v>RM097</v>
          </cell>
          <cell r="B107" t="str">
            <v>Other metals</v>
          </cell>
        </row>
        <row r="108">
          <cell r="A108" t="str">
            <v>RM098</v>
          </cell>
          <cell r="B108" t="str">
            <v>Nuclear fuel/heat</v>
          </cell>
        </row>
        <row r="109">
          <cell r="A109" t="str">
            <v>RM099</v>
          </cell>
          <cell r="B109" t="str">
            <v>Iron and steel casting</v>
          </cell>
        </row>
        <row r="110">
          <cell r="A110" t="str">
            <v>RM100</v>
          </cell>
          <cell r="B110" t="str">
            <v>Non-ferrous casting</v>
          </cell>
        </row>
        <row r="111">
          <cell r="A111" t="str">
            <v>RM101</v>
          </cell>
          <cell r="B111" t="str">
            <v>Structural metal</v>
          </cell>
        </row>
        <row r="112">
          <cell r="A112" t="str">
            <v>RM102</v>
          </cell>
          <cell r="B112" t="str">
            <v>Metal containers</v>
          </cell>
        </row>
        <row r="113">
          <cell r="A113" t="str">
            <v>RM103</v>
          </cell>
          <cell r="B113" t="str">
            <v>Steam generators</v>
          </cell>
        </row>
        <row r="114">
          <cell r="A114" t="str">
            <v>RM104</v>
          </cell>
          <cell r="B114" t="str">
            <v>Metal forming</v>
          </cell>
        </row>
        <row r="115">
          <cell r="A115" t="str">
            <v>RM105</v>
          </cell>
          <cell r="B115" t="str">
            <v>Metal coating</v>
          </cell>
        </row>
        <row r="116">
          <cell r="A116" t="str">
            <v>RM106</v>
          </cell>
          <cell r="B116" t="str">
            <v>Cutlery, tools, general hardware</v>
          </cell>
        </row>
        <row r="117">
          <cell r="A117" t="str">
            <v>RM107</v>
          </cell>
          <cell r="B117" t="str">
            <v>Metal products nec</v>
          </cell>
        </row>
        <row r="118">
          <cell r="A118" t="str">
            <v>RM108</v>
          </cell>
          <cell r="B118" t="str">
            <v>Electronics</v>
          </cell>
        </row>
        <row r="119">
          <cell r="A119" t="str">
            <v>RM109</v>
          </cell>
          <cell r="B119" t="str">
            <v>Electrical equipment</v>
          </cell>
        </row>
        <row r="120">
          <cell r="A120" t="str">
            <v>RM110</v>
          </cell>
          <cell r="B120" t="str">
            <v>Machinery</v>
          </cell>
        </row>
        <row r="121">
          <cell r="A121" t="str">
            <v>RM111</v>
          </cell>
          <cell r="B121" t="str">
            <v>Motor vehicles</v>
          </cell>
        </row>
        <row r="122">
          <cell r="A122" t="str">
            <v>RM112</v>
          </cell>
          <cell r="B122" t="str">
            <v>Ships, boats</v>
          </cell>
        </row>
        <row r="123">
          <cell r="A123" t="str">
            <v>RM113</v>
          </cell>
          <cell r="B123" t="str">
            <v>Railway</v>
          </cell>
        </row>
        <row r="124">
          <cell r="A124" t="str">
            <v>RM114</v>
          </cell>
          <cell r="B124" t="str">
            <v>Air, spacecraft</v>
          </cell>
        </row>
        <row r="125">
          <cell r="A125" t="str">
            <v>RM115</v>
          </cell>
          <cell r="B125" t="str">
            <v>Transport nec</v>
          </cell>
        </row>
        <row r="126">
          <cell r="A126" t="str">
            <v>RM116</v>
          </cell>
          <cell r="B126" t="str">
            <v>Furniture</v>
          </cell>
        </row>
        <row r="127">
          <cell r="A127" t="str">
            <v>RM117</v>
          </cell>
          <cell r="B127" t="str">
            <v>Jewellery</v>
          </cell>
        </row>
        <row r="128">
          <cell r="A128" t="str">
            <v>RM118</v>
          </cell>
          <cell r="B128" t="str">
            <v>Musical instruments</v>
          </cell>
        </row>
        <row r="129">
          <cell r="A129" t="str">
            <v>RM119</v>
          </cell>
          <cell r="B129" t="str">
            <v>Sports goods</v>
          </cell>
        </row>
        <row r="130">
          <cell r="A130" t="str">
            <v>RM120</v>
          </cell>
          <cell r="B130" t="str">
            <v>Games, toys</v>
          </cell>
        </row>
        <row r="131">
          <cell r="A131" t="str">
            <v>RM121</v>
          </cell>
          <cell r="B131" t="str">
            <v>Medical instruments</v>
          </cell>
        </row>
        <row r="132">
          <cell r="A132" t="str">
            <v>RM122</v>
          </cell>
          <cell r="B132" t="str">
            <v>Goods nec</v>
          </cell>
        </row>
        <row r="133">
          <cell r="A133" t="str">
            <v>RM123</v>
          </cell>
          <cell r="B133" t="str">
            <v>Repair machinery</v>
          </cell>
        </row>
        <row r="134">
          <cell r="A134" t="str">
            <v>RM124.1</v>
          </cell>
          <cell r="B134" t="str">
            <v>Electricity supply</v>
          </cell>
        </row>
        <row r="135">
          <cell r="A135" t="str">
            <v>RM124.2</v>
          </cell>
          <cell r="B135" t="str">
            <v>Hydro</v>
          </cell>
        </row>
        <row r="136">
          <cell r="A136" t="str">
            <v>RM124.3</v>
          </cell>
          <cell r="B136" t="str">
            <v>Wind</v>
          </cell>
        </row>
        <row r="137">
          <cell r="A137" t="str">
            <v>RM124.4</v>
          </cell>
          <cell r="B137" t="str">
            <v>Solar photovoltaic</v>
          </cell>
        </row>
        <row r="138">
          <cell r="A138" t="str">
            <v>RM124.5</v>
          </cell>
          <cell r="B138" t="str">
            <v>Tide, wave, ocean</v>
          </cell>
        </row>
        <row r="139">
          <cell r="A139" t="str">
            <v>RM125.1</v>
          </cell>
          <cell r="B139" t="str">
            <v>Gas supply</v>
          </cell>
        </row>
        <row r="140">
          <cell r="A140" t="str">
            <v>RM125.2</v>
          </cell>
          <cell r="B140" t="str">
            <v>Biogas from agricultural biomass</v>
          </cell>
        </row>
        <row r="141">
          <cell r="A141" t="str">
            <v>RM126.1</v>
          </cell>
          <cell r="B141" t="str">
            <v>Steam, air conditioning</v>
          </cell>
        </row>
        <row r="142">
          <cell r="A142" t="str">
            <v>RM126.2</v>
          </cell>
          <cell r="B142" t="str">
            <v>Geothermal</v>
          </cell>
        </row>
        <row r="143">
          <cell r="A143" t="str">
            <v>RM126.3</v>
          </cell>
          <cell r="B143" t="str">
            <v>Solar thermal</v>
          </cell>
        </row>
        <row r="144">
          <cell r="A144" t="str">
            <v>RM126.4</v>
          </cell>
          <cell r="B144" t="str">
            <v>Ambient heat (heat pumps)</v>
          </cell>
        </row>
        <row r="145">
          <cell r="A145" t="str">
            <v>RM127</v>
          </cell>
          <cell r="B145" t="str">
            <v>Water supply</v>
          </cell>
        </row>
        <row r="146">
          <cell r="A146" t="str">
            <v>RM128.1</v>
          </cell>
          <cell r="B146" t="str">
            <v>Sewerage, waste</v>
          </cell>
        </row>
        <row r="147">
          <cell r="A147" t="str">
            <v>RM128.2</v>
          </cell>
          <cell r="B147" t="str">
            <v>Energetic recovery of waste</v>
          </cell>
        </row>
        <row r="148">
          <cell r="A148" t="str">
            <v>RM129</v>
          </cell>
          <cell r="B148" t="str">
            <v>Construction</v>
          </cell>
        </row>
        <row r="149">
          <cell r="A149" t="str">
            <v>RM130</v>
          </cell>
          <cell r="B149" t="str">
            <v>Wholesale, retail trade</v>
          </cell>
        </row>
        <row r="150">
          <cell r="A150" t="str">
            <v>RM131</v>
          </cell>
          <cell r="B150" t="str">
            <v>Wholesale services</v>
          </cell>
        </row>
        <row r="151">
          <cell r="A151" t="str">
            <v>RM132</v>
          </cell>
          <cell r="B151" t="str">
            <v>Retail services</v>
          </cell>
        </row>
        <row r="152">
          <cell r="A152" t="str">
            <v>RM133</v>
          </cell>
          <cell r="B152" t="str">
            <v>Land transport</v>
          </cell>
        </row>
        <row r="153">
          <cell r="A153" t="str">
            <v>RM134</v>
          </cell>
          <cell r="B153" t="str">
            <v>Water transport</v>
          </cell>
        </row>
        <row r="154">
          <cell r="A154" t="str">
            <v>RM135</v>
          </cell>
          <cell r="B154" t="str">
            <v>Air transport</v>
          </cell>
        </row>
        <row r="155">
          <cell r="A155" t="str">
            <v>RM136</v>
          </cell>
          <cell r="B155" t="str">
            <v>Warehousing</v>
          </cell>
        </row>
        <row r="156">
          <cell r="A156" t="str">
            <v>RM137</v>
          </cell>
          <cell r="B156" t="str">
            <v>Postal services</v>
          </cell>
        </row>
        <row r="157">
          <cell r="A157" t="str">
            <v>RM138</v>
          </cell>
          <cell r="B157" t="str">
            <v>Accomodation, food</v>
          </cell>
        </row>
        <row r="158">
          <cell r="A158" t="str">
            <v>RM139</v>
          </cell>
          <cell r="B158" t="str">
            <v>Publishing</v>
          </cell>
        </row>
        <row r="159">
          <cell r="A159" t="str">
            <v>RM140</v>
          </cell>
          <cell r="B159" t="str">
            <v>Motion picture, sound</v>
          </cell>
        </row>
        <row r="160">
          <cell r="A160" t="str">
            <v>RM141</v>
          </cell>
          <cell r="B160" t="str">
            <v>Telecommunication</v>
          </cell>
        </row>
        <row r="161">
          <cell r="A161" t="str">
            <v>RM142</v>
          </cell>
          <cell r="B161" t="str">
            <v>Computer services</v>
          </cell>
        </row>
        <row r="162">
          <cell r="A162" t="str">
            <v>RM143</v>
          </cell>
          <cell r="B162" t="str">
            <v>Finance</v>
          </cell>
        </row>
        <row r="163">
          <cell r="A163" t="str">
            <v>RM144</v>
          </cell>
          <cell r="B163" t="str">
            <v>Insurance</v>
          </cell>
        </row>
        <row r="164">
          <cell r="A164" t="str">
            <v>RM145</v>
          </cell>
          <cell r="B164" t="str">
            <v>Auxiliary services</v>
          </cell>
        </row>
        <row r="165">
          <cell r="A165" t="str">
            <v>RM146</v>
          </cell>
          <cell r="B165" t="str">
            <v>Real estate</v>
          </cell>
        </row>
        <row r="166">
          <cell r="A166" t="str">
            <v>RM147</v>
          </cell>
          <cell r="B166" t="str">
            <v>Law and accounting</v>
          </cell>
        </row>
        <row r="167">
          <cell r="A167" t="str">
            <v>RM148</v>
          </cell>
          <cell r="B167" t="str">
            <v>Architecture</v>
          </cell>
        </row>
        <row r="168">
          <cell r="A168" t="str">
            <v>RM149</v>
          </cell>
          <cell r="B168" t="str">
            <v>Research</v>
          </cell>
        </row>
        <row r="169">
          <cell r="A169" t="str">
            <v>RM150</v>
          </cell>
          <cell r="B169" t="str">
            <v>Advertising</v>
          </cell>
        </row>
        <row r="170">
          <cell r="A170" t="str">
            <v>RM151</v>
          </cell>
          <cell r="B170" t="str">
            <v>Other services</v>
          </cell>
        </row>
        <row r="171">
          <cell r="A171" t="str">
            <v>RM152</v>
          </cell>
          <cell r="B171" t="str">
            <v>Rental and leasing</v>
          </cell>
        </row>
        <row r="172">
          <cell r="A172" t="str">
            <v>RM153</v>
          </cell>
          <cell r="B172" t="str">
            <v>Employment services</v>
          </cell>
        </row>
        <row r="173">
          <cell r="A173" t="str">
            <v>RM154</v>
          </cell>
          <cell r="B173" t="str">
            <v>Travel services</v>
          </cell>
        </row>
        <row r="174">
          <cell r="A174" t="str">
            <v>RM155</v>
          </cell>
          <cell r="B174" t="str">
            <v>Security, office support</v>
          </cell>
        </row>
        <row r="175">
          <cell r="A175" t="str">
            <v>RM156</v>
          </cell>
          <cell r="B175" t="str">
            <v>Public administration, defense</v>
          </cell>
        </row>
        <row r="176">
          <cell r="A176" t="str">
            <v>RM157</v>
          </cell>
          <cell r="B176" t="str">
            <v>Education</v>
          </cell>
        </row>
        <row r="177">
          <cell r="A177" t="str">
            <v>RM158</v>
          </cell>
          <cell r="B177" t="str">
            <v>Human health</v>
          </cell>
        </row>
        <row r="178">
          <cell r="A178" t="str">
            <v>RM159</v>
          </cell>
          <cell r="B178" t="str">
            <v>Social work</v>
          </cell>
        </row>
        <row r="179">
          <cell r="A179" t="str">
            <v>RM160</v>
          </cell>
          <cell r="B179" t="str">
            <v>Cultural services</v>
          </cell>
        </row>
        <row r="180">
          <cell r="A180" t="str">
            <v>RM161</v>
          </cell>
          <cell r="B180" t="str">
            <v>Recreation</v>
          </cell>
        </row>
        <row r="181">
          <cell r="A181" t="str">
            <v>RM162</v>
          </cell>
          <cell r="B181" t="str">
            <v>Membership services</v>
          </cell>
        </row>
        <row r="182">
          <cell r="A182" t="str">
            <v>RM163</v>
          </cell>
          <cell r="B182" t="str">
            <v>Repair of personal goods</v>
          </cell>
        </row>
        <row r="183">
          <cell r="A183" t="str">
            <v>RM164</v>
          </cell>
          <cell r="B183" t="str">
            <v>Services nec</v>
          </cell>
        </row>
        <row r="184">
          <cell r="A184" t="str">
            <v>RM165</v>
          </cell>
          <cell r="B184" t="str">
            <v>Household services</v>
          </cell>
        </row>
        <row r="185">
          <cell r="A185" t="str">
            <v>RM166</v>
          </cell>
          <cell r="B185" t="str">
            <v>Extraterritorial organisations</v>
          </cell>
        </row>
        <row r="186">
          <cell r="A186" t="str">
            <v>OUT</v>
          </cell>
          <cell r="B186" t="str">
            <v>Output</v>
          </cell>
        </row>
        <row r="187">
          <cell r="A187" t="str">
            <v>TDU</v>
          </cell>
          <cell r="B187" t="str">
            <v>Total domestic use</v>
          </cell>
        </row>
        <row r="188">
          <cell r="A188" t="str">
            <v>HFCE</v>
          </cell>
          <cell r="B188" t="str">
            <v>Household final consumption expenditure</v>
          </cell>
        </row>
        <row r="189">
          <cell r="A189" t="str">
            <v>NFCE</v>
          </cell>
        </row>
        <row r="190">
          <cell r="A190" t="str">
            <v>GFCE</v>
          </cell>
          <cell r="B190" t="str">
            <v>GFCE</v>
          </cell>
        </row>
        <row r="191">
          <cell r="A191" t="str">
            <v>INV</v>
          </cell>
          <cell r="B191" t="str">
            <v>Investments</v>
          </cell>
        </row>
        <row r="192">
          <cell r="A192" t="str">
            <v>CINV</v>
          </cell>
          <cell r="B192" t="str">
            <v>Changes in inventories</v>
          </cell>
        </row>
        <row r="193">
          <cell r="A193" t="str">
            <v>OUT</v>
          </cell>
          <cell r="B193" t="str">
            <v>Output</v>
          </cell>
        </row>
        <row r="194">
          <cell r="A194" t="str">
            <v>GVA</v>
          </cell>
          <cell r="B194" t="str">
            <v>Gross value added</v>
          </cell>
        </row>
        <row r="195">
          <cell r="A195" t="str">
            <v>IMP</v>
          </cell>
          <cell r="B195" t="str">
            <v>Imports</v>
          </cell>
        </row>
        <row r="196">
          <cell r="A196" t="str">
            <v>EXP</v>
          </cell>
          <cell r="B196" t="str">
            <v>Exports</v>
          </cell>
        </row>
        <row r="197">
          <cell r="A197" t="str">
            <v>:</v>
          </cell>
          <cell r="B197" t="str">
            <v>: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0CFC7-8DC2-4495-B651-3A2BC9BFAC12}" name="PsutIndBridgeTable" displayName="PsutIndBridgeTable" ref="A2:F185" dataDxfId="21">
  <tableColumns count="6">
    <tableColumn id="1" xr3:uid="{DB58B031-01AA-4E12-8F0B-703A9C9B854F}" name="flow" dataDxfId="20"/>
    <tableColumn id="2" xr3:uid="{9535BAEE-38BA-49B4-B89B-7878B4D26580}" name="psut_ind" dataDxfId="19"/>
    <tableColumn id="3" xr3:uid="{6E1A57FD-ED0B-4B69-919B-47A95A6AA941}" name="ind" dataDxfId="18"/>
    <tableColumn id="5" xr3:uid="{1290E469-6099-462D-A977-05B5E2D6C920}" name="rmh" dataDxfId="17" dataCellStyle="Normal 4"/>
    <tableColumn id="4" xr3:uid="{73C72641-0D8D-4C92-8C16-70A679830150}" name="method" dataDxfId="16"/>
    <tableColumn id="6" xr3:uid="{7F9BFF54-84F5-4F84-8381-1612FD251135}" name="remark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d.eionet.europa.eu/vocabularyconcept/eurostat/siec/O4681/view?vocabularyFolder.workingCopy=false&amp;facet=HTML+Representation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zoomScaleNormal="100" workbookViewId="0">
      <pane ySplit="2" topLeftCell="A90" activePane="bottomLeft" state="frozen"/>
      <selection pane="bottomLeft" activeCell="B106" sqref="B106:B111"/>
    </sheetView>
  </sheetViews>
  <sheetFormatPr defaultColWidth="10.6640625" defaultRowHeight="13.8"/>
  <cols>
    <col min="3" max="3" width="32" customWidth="1"/>
    <col min="4" max="4" width="23.77734375" customWidth="1"/>
  </cols>
  <sheetData>
    <row r="1" spans="1:4">
      <c r="A1" s="1" t="s">
        <v>0</v>
      </c>
    </row>
    <row r="2" spans="1:4" ht="14.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t="s">
        <v>5</v>
      </c>
      <c r="B3" t="s">
        <v>6</v>
      </c>
      <c r="C3" t="s">
        <v>7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10</v>
      </c>
    </row>
    <row r="5" spans="1:4">
      <c r="A5" t="s">
        <v>11</v>
      </c>
      <c r="B5" t="s">
        <v>12</v>
      </c>
      <c r="C5" t="s">
        <v>13</v>
      </c>
      <c r="D5" t="s">
        <v>14</v>
      </c>
    </row>
    <row r="6" spans="1:4">
      <c r="A6" t="s">
        <v>15</v>
      </c>
      <c r="B6" t="s">
        <v>16</v>
      </c>
      <c r="C6" t="s">
        <v>17</v>
      </c>
      <c r="D6" t="s">
        <v>17</v>
      </c>
    </row>
    <row r="7" spans="1:4">
      <c r="A7" t="s">
        <v>18</v>
      </c>
      <c r="B7" t="s">
        <v>19</v>
      </c>
      <c r="C7" t="s">
        <v>20</v>
      </c>
      <c r="D7" t="s">
        <v>20</v>
      </c>
    </row>
    <row r="8" spans="1:4">
      <c r="A8" t="s">
        <v>21</v>
      </c>
      <c r="B8" t="s">
        <v>22</v>
      </c>
      <c r="C8" t="s">
        <v>23</v>
      </c>
      <c r="D8" t="s">
        <v>23</v>
      </c>
    </row>
    <row r="9" spans="1:4">
      <c r="A9" t="s">
        <v>24</v>
      </c>
      <c r="B9" t="s">
        <v>25</v>
      </c>
      <c r="C9" t="s">
        <v>26</v>
      </c>
      <c r="D9" t="s">
        <v>26</v>
      </c>
    </row>
    <row r="10" spans="1:4">
      <c r="A10" t="s">
        <v>27</v>
      </c>
      <c r="B10" t="s">
        <v>28</v>
      </c>
      <c r="C10" t="s">
        <v>29</v>
      </c>
      <c r="D10" t="s">
        <v>29</v>
      </c>
    </row>
    <row r="11" spans="1:4">
      <c r="A11" t="s">
        <v>30</v>
      </c>
      <c r="B11" t="s">
        <v>31</v>
      </c>
      <c r="C11" t="s">
        <v>32</v>
      </c>
      <c r="D11" t="s">
        <v>32</v>
      </c>
    </row>
    <row r="12" spans="1:4">
      <c r="A12" t="s">
        <v>33</v>
      </c>
      <c r="B12" t="s">
        <v>34</v>
      </c>
      <c r="C12" t="s">
        <v>35</v>
      </c>
      <c r="D12" t="s">
        <v>35</v>
      </c>
    </row>
    <row r="13" spans="1:4">
      <c r="A13" t="s">
        <v>36</v>
      </c>
      <c r="B13" t="s">
        <v>37</v>
      </c>
      <c r="C13" t="s">
        <v>38</v>
      </c>
      <c r="D13" t="s">
        <v>38</v>
      </c>
    </row>
    <row r="14" spans="1:4">
      <c r="A14" t="s">
        <v>39</v>
      </c>
      <c r="B14" t="s">
        <v>40</v>
      </c>
      <c r="C14" t="s">
        <v>41</v>
      </c>
      <c r="D14" t="s">
        <v>41</v>
      </c>
    </row>
    <row r="15" spans="1:4">
      <c r="A15" t="s">
        <v>42</v>
      </c>
      <c r="B15" t="s">
        <v>43</v>
      </c>
      <c r="C15" t="s">
        <v>44</v>
      </c>
      <c r="D15" t="s">
        <v>44</v>
      </c>
    </row>
    <row r="16" spans="1:4">
      <c r="A16" t="s">
        <v>45</v>
      </c>
      <c r="B16" t="s">
        <v>46</v>
      </c>
      <c r="C16" t="s">
        <v>47</v>
      </c>
      <c r="D16" t="s">
        <v>47</v>
      </c>
    </row>
    <row r="17" spans="1:4">
      <c r="A17" t="s">
        <v>48</v>
      </c>
      <c r="B17" t="s">
        <v>49</v>
      </c>
      <c r="C17" t="s">
        <v>50</v>
      </c>
      <c r="D17" t="s">
        <v>50</v>
      </c>
    </row>
    <row r="18" spans="1:4">
      <c r="A18" t="s">
        <v>51</v>
      </c>
      <c r="B18" t="s">
        <v>52</v>
      </c>
      <c r="C18" t="s">
        <v>53</v>
      </c>
      <c r="D18" t="s">
        <v>53</v>
      </c>
    </row>
    <row r="19" spans="1:4">
      <c r="A19" t="s">
        <v>54</v>
      </c>
      <c r="B19" t="s">
        <v>55</v>
      </c>
      <c r="C19" t="s">
        <v>56</v>
      </c>
      <c r="D19" t="s">
        <v>56</v>
      </c>
    </row>
    <row r="20" spans="1:4">
      <c r="A20" t="s">
        <v>57</v>
      </c>
      <c r="B20" t="s">
        <v>58</v>
      </c>
      <c r="C20" t="s">
        <v>59</v>
      </c>
      <c r="D20" t="s">
        <v>60</v>
      </c>
    </row>
    <row r="21" spans="1:4">
      <c r="A21" t="s">
        <v>61</v>
      </c>
      <c r="B21" t="s">
        <v>58</v>
      </c>
      <c r="C21" t="s">
        <v>60</v>
      </c>
      <c r="D21" t="s">
        <v>60</v>
      </c>
    </row>
    <row r="22" spans="1:4">
      <c r="A22" t="s">
        <v>62</v>
      </c>
      <c r="B22" t="s">
        <v>63</v>
      </c>
      <c r="C22" t="s">
        <v>64</v>
      </c>
      <c r="D22" t="s">
        <v>64</v>
      </c>
    </row>
    <row r="23" spans="1:4">
      <c r="A23" t="s">
        <v>65</v>
      </c>
      <c r="B23" t="s">
        <v>66</v>
      </c>
      <c r="C23" t="s">
        <v>67</v>
      </c>
      <c r="D23" t="s">
        <v>67</v>
      </c>
    </row>
    <row r="24" spans="1:4">
      <c r="A24" t="s">
        <v>68</v>
      </c>
      <c r="B24" t="s">
        <v>69</v>
      </c>
      <c r="C24" t="s">
        <v>70</v>
      </c>
      <c r="D24" t="s">
        <v>70</v>
      </c>
    </row>
    <row r="25" spans="1:4">
      <c r="A25" t="s">
        <v>71</v>
      </c>
      <c r="B25" t="s">
        <v>72</v>
      </c>
      <c r="C25" t="s">
        <v>73</v>
      </c>
      <c r="D25" t="s">
        <v>73</v>
      </c>
    </row>
    <row r="26" spans="1:4">
      <c r="A26" t="s">
        <v>74</v>
      </c>
      <c r="B26" t="s">
        <v>75</v>
      </c>
      <c r="C26" t="s">
        <v>76</v>
      </c>
      <c r="D26" t="s">
        <v>76</v>
      </c>
    </row>
    <row r="27" spans="1:4">
      <c r="A27" t="s">
        <v>77</v>
      </c>
      <c r="B27" t="s">
        <v>78</v>
      </c>
      <c r="C27" t="s">
        <v>79</v>
      </c>
      <c r="D27" t="s">
        <v>79</v>
      </c>
    </row>
    <row r="28" spans="1:4">
      <c r="A28" t="s">
        <v>80</v>
      </c>
      <c r="B28" t="s">
        <v>81</v>
      </c>
      <c r="C28" t="s">
        <v>82</v>
      </c>
      <c r="D28" t="s">
        <v>82</v>
      </c>
    </row>
    <row r="29" spans="1:4">
      <c r="A29" t="s">
        <v>83</v>
      </c>
      <c r="B29" t="s">
        <v>84</v>
      </c>
      <c r="C29" t="s">
        <v>85</v>
      </c>
      <c r="D29" t="s">
        <v>85</v>
      </c>
    </row>
    <row r="30" spans="1:4">
      <c r="A30" t="s">
        <v>86</v>
      </c>
      <c r="B30" t="s">
        <v>87</v>
      </c>
      <c r="C30" t="s">
        <v>88</v>
      </c>
      <c r="D30" t="s">
        <v>88</v>
      </c>
    </row>
    <row r="31" spans="1:4">
      <c r="A31" t="s">
        <v>89</v>
      </c>
      <c r="B31" t="s">
        <v>90</v>
      </c>
      <c r="C31" t="s">
        <v>91</v>
      </c>
      <c r="D31" t="s">
        <v>91</v>
      </c>
    </row>
    <row r="32" spans="1:4">
      <c r="A32" t="s">
        <v>92</v>
      </c>
      <c r="B32" t="s">
        <v>93</v>
      </c>
      <c r="C32" t="s">
        <v>94</v>
      </c>
      <c r="D32" t="s">
        <v>94</v>
      </c>
    </row>
    <row r="33" spans="1:4">
      <c r="A33" t="s">
        <v>95</v>
      </c>
      <c r="B33" t="s">
        <v>96</v>
      </c>
      <c r="C33" t="s">
        <v>97</v>
      </c>
      <c r="D33" t="s">
        <v>97</v>
      </c>
    </row>
    <row r="34" spans="1:4">
      <c r="A34" t="s">
        <v>98</v>
      </c>
      <c r="B34" t="s">
        <v>99</v>
      </c>
      <c r="C34" t="s">
        <v>100</v>
      </c>
      <c r="D34" t="s">
        <v>100</v>
      </c>
    </row>
    <row r="35" spans="1:4">
      <c r="A35" t="s">
        <v>101</v>
      </c>
      <c r="B35" t="s">
        <v>102</v>
      </c>
      <c r="C35" t="s">
        <v>103</v>
      </c>
      <c r="D35" t="s">
        <v>103</v>
      </c>
    </row>
    <row r="36" spans="1:4">
      <c r="A36" t="s">
        <v>104</v>
      </c>
      <c r="B36" t="s">
        <v>105</v>
      </c>
      <c r="C36" t="s">
        <v>106</v>
      </c>
      <c r="D36" t="s">
        <v>107</v>
      </c>
    </row>
    <row r="37" spans="1:4">
      <c r="A37" t="s">
        <v>108</v>
      </c>
      <c r="B37" t="s">
        <v>109</v>
      </c>
      <c r="C37" t="s">
        <v>110</v>
      </c>
      <c r="D37" t="s">
        <v>110</v>
      </c>
    </row>
    <row r="38" spans="1:4">
      <c r="A38" t="s">
        <v>111</v>
      </c>
      <c r="B38" t="s">
        <v>112</v>
      </c>
      <c r="C38" t="s">
        <v>113</v>
      </c>
      <c r="D38" t="s">
        <v>113</v>
      </c>
    </row>
    <row r="39" spans="1:4">
      <c r="A39" t="s">
        <v>114</v>
      </c>
      <c r="B39" t="s">
        <v>115</v>
      </c>
      <c r="C39" t="s">
        <v>116</v>
      </c>
      <c r="D39" t="s">
        <v>116</v>
      </c>
    </row>
    <row r="40" spans="1:4">
      <c r="A40" t="s">
        <v>117</v>
      </c>
      <c r="B40" t="s">
        <v>118</v>
      </c>
      <c r="C40" t="s">
        <v>119</v>
      </c>
      <c r="D40" t="s">
        <v>120</v>
      </c>
    </row>
    <row r="41" spans="1:4">
      <c r="A41" t="s">
        <v>121</v>
      </c>
      <c r="B41" t="s">
        <v>118</v>
      </c>
      <c r="C41" t="s">
        <v>122</v>
      </c>
      <c r="D41" t="s">
        <v>120</v>
      </c>
    </row>
    <row r="42" spans="1:4">
      <c r="A42" t="s">
        <v>123</v>
      </c>
      <c r="B42" t="s">
        <v>118</v>
      </c>
      <c r="C42" t="s">
        <v>124</v>
      </c>
      <c r="D42" t="s">
        <v>120</v>
      </c>
    </row>
    <row r="43" spans="1:4">
      <c r="A43" t="s">
        <v>125</v>
      </c>
      <c r="B43" t="s">
        <v>118</v>
      </c>
      <c r="C43" t="s">
        <v>126</v>
      </c>
      <c r="D43" t="s">
        <v>120</v>
      </c>
    </row>
    <row r="44" spans="1:4">
      <c r="A44" t="s">
        <v>127</v>
      </c>
      <c r="B44" t="s">
        <v>118</v>
      </c>
      <c r="C44" t="s">
        <v>128</v>
      </c>
      <c r="D44" t="s">
        <v>120</v>
      </c>
    </row>
    <row r="45" spans="1:4">
      <c r="A45" t="s">
        <v>129</v>
      </c>
      <c r="B45" t="s">
        <v>118</v>
      </c>
      <c r="C45" t="s">
        <v>130</v>
      </c>
      <c r="D45" t="s">
        <v>120</v>
      </c>
    </row>
    <row r="46" spans="1:4">
      <c r="A46" t="s">
        <v>131</v>
      </c>
      <c r="B46" t="s">
        <v>118</v>
      </c>
      <c r="C46" t="s">
        <v>120</v>
      </c>
      <c r="D46" t="s">
        <v>120</v>
      </c>
    </row>
    <row r="47" spans="1:4">
      <c r="A47" t="s">
        <v>132</v>
      </c>
      <c r="B47" t="s">
        <v>133</v>
      </c>
      <c r="C47" t="s">
        <v>134</v>
      </c>
      <c r="D47" t="s">
        <v>134</v>
      </c>
    </row>
    <row r="48" spans="1:4">
      <c r="A48" t="s">
        <v>135</v>
      </c>
      <c r="B48" t="s">
        <v>136</v>
      </c>
      <c r="C48" t="s">
        <v>137</v>
      </c>
      <c r="D48" t="s">
        <v>137</v>
      </c>
    </row>
    <row r="49" spans="1:4">
      <c r="A49" t="s">
        <v>138</v>
      </c>
      <c r="B49" t="s">
        <v>139</v>
      </c>
      <c r="C49" t="s">
        <v>140</v>
      </c>
      <c r="D49" t="s">
        <v>140</v>
      </c>
    </row>
    <row r="50" spans="1:4">
      <c r="A50" t="s">
        <v>141</v>
      </c>
      <c r="B50" t="s">
        <v>142</v>
      </c>
      <c r="C50" t="s">
        <v>143</v>
      </c>
      <c r="D50" t="s">
        <v>143</v>
      </c>
    </row>
    <row r="51" spans="1:4">
      <c r="A51" t="s">
        <v>144</v>
      </c>
      <c r="B51" t="s">
        <v>145</v>
      </c>
      <c r="C51" t="s">
        <v>146</v>
      </c>
      <c r="D51" t="s">
        <v>147</v>
      </c>
    </row>
    <row r="52" spans="1:4">
      <c r="A52" t="s">
        <v>148</v>
      </c>
      <c r="B52" t="s">
        <v>145</v>
      </c>
      <c r="C52" t="s">
        <v>149</v>
      </c>
      <c r="D52" t="s">
        <v>147</v>
      </c>
    </row>
    <row r="53" spans="1:4">
      <c r="A53" t="s">
        <v>150</v>
      </c>
      <c r="B53" t="s">
        <v>151</v>
      </c>
      <c r="C53" t="s">
        <v>152</v>
      </c>
      <c r="D53" t="s">
        <v>152</v>
      </c>
    </row>
    <row r="54" spans="1:4">
      <c r="A54" t="s">
        <v>153</v>
      </c>
      <c r="B54" t="s">
        <v>154</v>
      </c>
      <c r="C54" t="s">
        <v>155</v>
      </c>
      <c r="D54" t="s">
        <v>156</v>
      </c>
    </row>
    <row r="55" spans="1:4">
      <c r="A55" t="s">
        <v>157</v>
      </c>
      <c r="B55" t="s">
        <v>158</v>
      </c>
      <c r="C55" t="s">
        <v>159</v>
      </c>
      <c r="D55" t="s">
        <v>160</v>
      </c>
    </row>
    <row r="56" spans="1:4">
      <c r="A56" t="s">
        <v>161</v>
      </c>
      <c r="B56" t="s">
        <v>162</v>
      </c>
      <c r="C56" t="s">
        <v>163</v>
      </c>
      <c r="D56" t="s">
        <v>163</v>
      </c>
    </row>
    <row r="57" spans="1:4">
      <c r="A57" t="s">
        <v>164</v>
      </c>
      <c r="B57" t="s">
        <v>158</v>
      </c>
      <c r="C57" t="s">
        <v>160</v>
      </c>
      <c r="D57" t="s">
        <v>160</v>
      </c>
    </row>
    <row r="58" spans="1:4">
      <c r="A58" t="s">
        <v>165</v>
      </c>
      <c r="B58" t="s">
        <v>166</v>
      </c>
      <c r="C58" t="s">
        <v>167</v>
      </c>
      <c r="D58" t="s">
        <v>167</v>
      </c>
    </row>
    <row r="59" spans="1:4">
      <c r="A59" t="s">
        <v>168</v>
      </c>
      <c r="B59" t="s">
        <v>169</v>
      </c>
      <c r="C59" t="s">
        <v>170</v>
      </c>
      <c r="D59" t="s">
        <v>170</v>
      </c>
    </row>
    <row r="60" spans="1:4">
      <c r="A60" t="s">
        <v>171</v>
      </c>
      <c r="B60" t="s">
        <v>172</v>
      </c>
      <c r="C60" t="s">
        <v>173</v>
      </c>
      <c r="D60" t="s">
        <v>173</v>
      </c>
    </row>
    <row r="61" spans="1:4">
      <c r="A61" t="s">
        <v>174</v>
      </c>
      <c r="B61" t="s">
        <v>175</v>
      </c>
      <c r="C61" t="s">
        <v>176</v>
      </c>
      <c r="D61" t="s">
        <v>176</v>
      </c>
    </row>
    <row r="62" spans="1:4">
      <c r="A62" t="s">
        <v>177</v>
      </c>
      <c r="B62" t="s">
        <v>178</v>
      </c>
      <c r="C62" t="s">
        <v>179</v>
      </c>
      <c r="D62" t="s">
        <v>179</v>
      </c>
    </row>
    <row r="63" spans="1:4">
      <c r="A63" t="s">
        <v>180</v>
      </c>
      <c r="B63" t="s">
        <v>181</v>
      </c>
      <c r="C63" t="s">
        <v>182</v>
      </c>
      <c r="D63" t="s">
        <v>182</v>
      </c>
    </row>
    <row r="64" spans="1:4">
      <c r="A64" t="s">
        <v>183</v>
      </c>
      <c r="B64" t="s">
        <v>184</v>
      </c>
      <c r="C64" t="s">
        <v>185</v>
      </c>
      <c r="D64" t="s">
        <v>185</v>
      </c>
    </row>
    <row r="65" spans="1:4">
      <c r="A65" t="s">
        <v>186</v>
      </c>
      <c r="B65" t="s">
        <v>187</v>
      </c>
      <c r="C65" t="s">
        <v>188</v>
      </c>
      <c r="D65" t="s">
        <v>188</v>
      </c>
    </row>
    <row r="66" spans="1:4">
      <c r="A66" t="s">
        <v>189</v>
      </c>
      <c r="B66" t="s">
        <v>190</v>
      </c>
      <c r="C66" t="s">
        <v>191</v>
      </c>
      <c r="D66" t="s">
        <v>192</v>
      </c>
    </row>
    <row r="67" spans="1:4">
      <c r="A67" t="s">
        <v>193</v>
      </c>
      <c r="B67" t="s">
        <v>190</v>
      </c>
      <c r="C67" t="s">
        <v>194</v>
      </c>
      <c r="D67" t="s">
        <v>192</v>
      </c>
    </row>
    <row r="68" spans="1:4">
      <c r="A68" t="s">
        <v>195</v>
      </c>
      <c r="B68" t="s">
        <v>196</v>
      </c>
      <c r="C68" t="s">
        <v>197</v>
      </c>
      <c r="D68" t="s">
        <v>197</v>
      </c>
    </row>
    <row r="69" spans="1:4">
      <c r="A69" t="s">
        <v>198</v>
      </c>
      <c r="B69" t="s">
        <v>199</v>
      </c>
      <c r="C69" t="s">
        <v>200</v>
      </c>
      <c r="D69" t="s">
        <v>200</v>
      </c>
    </row>
    <row r="70" spans="1:4">
      <c r="A70" t="s">
        <v>201</v>
      </c>
      <c r="B70" t="s">
        <v>202</v>
      </c>
      <c r="C70" t="s">
        <v>203</v>
      </c>
      <c r="D70" t="s">
        <v>203</v>
      </c>
    </row>
    <row r="71" spans="1:4">
      <c r="A71" t="s">
        <v>204</v>
      </c>
      <c r="B71" t="s">
        <v>205</v>
      </c>
      <c r="C71" t="s">
        <v>206</v>
      </c>
      <c r="D71" t="s">
        <v>206</v>
      </c>
    </row>
    <row r="72" spans="1:4">
      <c r="A72" t="s">
        <v>207</v>
      </c>
      <c r="B72" t="s">
        <v>208</v>
      </c>
      <c r="C72" t="s">
        <v>209</v>
      </c>
      <c r="D72" t="s">
        <v>209</v>
      </c>
    </row>
    <row r="73" spans="1:4">
      <c r="A73" t="s">
        <v>210</v>
      </c>
      <c r="B73" t="s">
        <v>211</v>
      </c>
      <c r="C73" t="s">
        <v>212</v>
      </c>
      <c r="D73" t="s">
        <v>212</v>
      </c>
    </row>
    <row r="74" spans="1:4">
      <c r="A74" t="s">
        <v>213</v>
      </c>
      <c r="B74" t="s">
        <v>214</v>
      </c>
      <c r="C74" t="s">
        <v>215</v>
      </c>
      <c r="D74" t="s">
        <v>216</v>
      </c>
    </row>
    <row r="75" spans="1:4">
      <c r="A75" t="s">
        <v>217</v>
      </c>
      <c r="B75" t="s">
        <v>218</v>
      </c>
      <c r="C75" t="s">
        <v>219</v>
      </c>
      <c r="D75" t="s">
        <v>219</v>
      </c>
    </row>
    <row r="76" spans="1:4">
      <c r="A76" t="s">
        <v>220</v>
      </c>
      <c r="B76" t="s">
        <v>221</v>
      </c>
      <c r="C76" t="s">
        <v>222</v>
      </c>
      <c r="D76" t="s">
        <v>222</v>
      </c>
    </row>
    <row r="77" spans="1:4">
      <c r="A77" t="s">
        <v>223</v>
      </c>
      <c r="B77" t="s">
        <v>224</v>
      </c>
      <c r="C77" t="s">
        <v>225</v>
      </c>
      <c r="D77" t="s">
        <v>225</v>
      </c>
    </row>
    <row r="78" spans="1:4">
      <c r="A78" t="s">
        <v>226</v>
      </c>
      <c r="B78" t="s">
        <v>227</v>
      </c>
      <c r="C78" t="s">
        <v>228</v>
      </c>
      <c r="D78" t="s">
        <v>228</v>
      </c>
    </row>
    <row r="79" spans="1:4">
      <c r="A79" t="s">
        <v>229</v>
      </c>
      <c r="B79" t="s">
        <v>230</v>
      </c>
      <c r="C79" t="s">
        <v>231</v>
      </c>
      <c r="D79" t="s">
        <v>231</v>
      </c>
    </row>
    <row r="80" spans="1:4">
      <c r="A80" t="s">
        <v>232</v>
      </c>
      <c r="B80" t="s">
        <v>233</v>
      </c>
      <c r="C80" t="s">
        <v>234</v>
      </c>
      <c r="D80" t="s">
        <v>234</v>
      </c>
    </row>
    <row r="81" spans="1:4">
      <c r="A81" t="s">
        <v>235</v>
      </c>
      <c r="B81" t="s">
        <v>236</v>
      </c>
      <c r="C81" t="s">
        <v>237</v>
      </c>
      <c r="D81" t="s">
        <v>237</v>
      </c>
    </row>
    <row r="82" spans="1:4">
      <c r="A82" t="s">
        <v>238</v>
      </c>
      <c r="B82" t="s">
        <v>239</v>
      </c>
      <c r="C82" t="s">
        <v>240</v>
      </c>
      <c r="D82" t="s">
        <v>240</v>
      </c>
    </row>
    <row r="83" spans="1:4">
      <c r="A83" t="s">
        <v>241</v>
      </c>
      <c r="B83" t="s">
        <v>242</v>
      </c>
      <c r="C83" t="s">
        <v>243</v>
      </c>
      <c r="D83" t="s">
        <v>243</v>
      </c>
    </row>
    <row r="84" spans="1:4">
      <c r="A84" t="s">
        <v>244</v>
      </c>
      <c r="B84" t="s">
        <v>245</v>
      </c>
      <c r="C84" t="s">
        <v>246</v>
      </c>
      <c r="D84" t="s">
        <v>246</v>
      </c>
    </row>
    <row r="85" spans="1:4">
      <c r="A85" t="s">
        <v>247</v>
      </c>
      <c r="B85" t="s">
        <v>248</v>
      </c>
      <c r="C85" t="s">
        <v>249</v>
      </c>
      <c r="D85" t="s">
        <v>249</v>
      </c>
    </row>
    <row r="86" spans="1:4">
      <c r="A86" t="s">
        <v>250</v>
      </c>
      <c r="B86" t="s">
        <v>251</v>
      </c>
      <c r="C86" t="s">
        <v>252</v>
      </c>
      <c r="D86" t="s">
        <v>252</v>
      </c>
    </row>
    <row r="87" spans="1:4">
      <c r="A87" t="s">
        <v>253</v>
      </c>
      <c r="B87" t="s">
        <v>254</v>
      </c>
      <c r="C87" t="s">
        <v>255</v>
      </c>
      <c r="D87" t="s">
        <v>255</v>
      </c>
    </row>
    <row r="88" spans="1:4">
      <c r="A88" t="s">
        <v>256</v>
      </c>
      <c r="B88" t="s">
        <v>257</v>
      </c>
      <c r="C88" t="s">
        <v>258</v>
      </c>
      <c r="D88" t="s">
        <v>258</v>
      </c>
    </row>
    <row r="89" spans="1:4">
      <c r="A89" t="s">
        <v>259</v>
      </c>
      <c r="B89" t="s">
        <v>260</v>
      </c>
      <c r="C89" t="s">
        <v>261</v>
      </c>
      <c r="D89" t="s">
        <v>261</v>
      </c>
    </row>
    <row r="90" spans="1:4">
      <c r="A90" t="s">
        <v>262</v>
      </c>
      <c r="B90" t="s">
        <v>263</v>
      </c>
      <c r="C90" t="s">
        <v>264</v>
      </c>
      <c r="D90" t="s">
        <v>264</v>
      </c>
    </row>
    <row r="91" spans="1:4">
      <c r="A91" t="s">
        <v>265</v>
      </c>
      <c r="B91" t="s">
        <v>266</v>
      </c>
      <c r="C91" t="s">
        <v>267</v>
      </c>
      <c r="D91" t="s">
        <v>267</v>
      </c>
    </row>
    <row r="92" spans="1:4">
      <c r="A92" t="s">
        <v>268</v>
      </c>
      <c r="B92" t="s">
        <v>269</v>
      </c>
      <c r="C92" t="s">
        <v>270</v>
      </c>
      <c r="D92" t="s">
        <v>270</v>
      </c>
    </row>
    <row r="93" spans="1:4">
      <c r="A93" t="s">
        <v>271</v>
      </c>
      <c r="B93" t="s">
        <v>272</v>
      </c>
      <c r="C93" t="s">
        <v>273</v>
      </c>
      <c r="D93" t="s">
        <v>273</v>
      </c>
    </row>
    <row r="94" spans="1:4">
      <c r="A94" t="s">
        <v>274</v>
      </c>
      <c r="B94" t="s">
        <v>275</v>
      </c>
      <c r="C94" t="s">
        <v>276</v>
      </c>
      <c r="D94" t="s">
        <v>277</v>
      </c>
    </row>
    <row r="95" spans="1:4">
      <c r="A95" t="s">
        <v>278</v>
      </c>
      <c r="B95" t="s">
        <v>279</v>
      </c>
      <c r="C95" t="s">
        <v>280</v>
      </c>
      <c r="D95" t="s">
        <v>280</v>
      </c>
    </row>
    <row r="96" spans="1:4">
      <c r="A96" t="s">
        <v>281</v>
      </c>
      <c r="B96" t="s">
        <v>282</v>
      </c>
      <c r="C96" t="s">
        <v>283</v>
      </c>
      <c r="D96" t="s">
        <v>283</v>
      </c>
    </row>
    <row r="97" spans="1:4">
      <c r="A97" t="s">
        <v>284</v>
      </c>
      <c r="B97" t="s">
        <v>285</v>
      </c>
      <c r="C97" t="s">
        <v>286</v>
      </c>
      <c r="D97" t="s">
        <v>286</v>
      </c>
    </row>
    <row r="98" spans="1:4">
      <c r="A98" t="s">
        <v>287</v>
      </c>
      <c r="B98" t="s">
        <v>288</v>
      </c>
      <c r="C98" t="s">
        <v>289</v>
      </c>
      <c r="D98" t="s">
        <v>289</v>
      </c>
    </row>
    <row r="99" spans="1:4">
      <c r="A99" t="s">
        <v>290</v>
      </c>
      <c r="B99" t="s">
        <v>291</v>
      </c>
      <c r="C99" t="s">
        <v>292</v>
      </c>
      <c r="D99" t="s">
        <v>292</v>
      </c>
    </row>
    <row r="100" spans="1:4">
      <c r="A100" t="s">
        <v>293</v>
      </c>
      <c r="B100" t="s">
        <v>294</v>
      </c>
      <c r="C100" t="s">
        <v>295</v>
      </c>
      <c r="D100" t="s">
        <v>295</v>
      </c>
    </row>
    <row r="101" spans="1:4">
      <c r="A101" t="s">
        <v>296</v>
      </c>
      <c r="B101" t="s">
        <v>297</v>
      </c>
      <c r="C101" t="s">
        <v>298</v>
      </c>
      <c r="D101" t="s">
        <v>298</v>
      </c>
    </row>
    <row r="102" spans="1:4">
      <c r="A102" t="s">
        <v>299</v>
      </c>
      <c r="B102" t="s">
        <v>300</v>
      </c>
      <c r="C102" t="s">
        <v>301</v>
      </c>
      <c r="D102" t="s">
        <v>301</v>
      </c>
    </row>
    <row r="103" spans="1:4">
      <c r="A103" t="s">
        <v>302</v>
      </c>
      <c r="B103" t="s">
        <v>303</v>
      </c>
      <c r="C103" t="s">
        <v>304</v>
      </c>
      <c r="D103" t="s">
        <v>304</v>
      </c>
    </row>
    <row r="104" spans="1:4">
      <c r="A104" t="s">
        <v>305</v>
      </c>
      <c r="B104" t="s">
        <v>306</v>
      </c>
      <c r="C104" t="s">
        <v>307</v>
      </c>
      <c r="D104" t="s">
        <v>307</v>
      </c>
    </row>
    <row r="105" spans="1:4">
      <c r="A105" t="s">
        <v>308</v>
      </c>
      <c r="B105" t="s">
        <v>309</v>
      </c>
      <c r="C105" t="s">
        <v>310</v>
      </c>
      <c r="D105" t="s">
        <v>310</v>
      </c>
    </row>
    <row r="106" spans="1:4">
      <c r="A106" t="s">
        <v>311</v>
      </c>
      <c r="B106" t="s">
        <v>312</v>
      </c>
      <c r="C106" t="s">
        <v>313</v>
      </c>
      <c r="D106" t="s">
        <v>313</v>
      </c>
    </row>
    <row r="107" spans="1:4">
      <c r="A107" t="s">
        <v>314</v>
      </c>
      <c r="B107" t="s">
        <v>315</v>
      </c>
      <c r="C107" t="s">
        <v>316</v>
      </c>
      <c r="D107" t="s">
        <v>316</v>
      </c>
    </row>
    <row r="108" spans="1:4">
      <c r="A108" t="s">
        <v>317</v>
      </c>
      <c r="B108" t="s">
        <v>318</v>
      </c>
      <c r="C108" t="s">
        <v>319</v>
      </c>
      <c r="D108" t="s">
        <v>320</v>
      </c>
    </row>
    <row r="109" spans="1:4">
      <c r="A109" t="s">
        <v>321</v>
      </c>
      <c r="B109" t="s">
        <v>318</v>
      </c>
      <c r="C109" t="s">
        <v>322</v>
      </c>
      <c r="D109" t="s">
        <v>320</v>
      </c>
    </row>
    <row r="110" spans="1:4">
      <c r="A110" t="s">
        <v>323</v>
      </c>
      <c r="B110" t="s">
        <v>318</v>
      </c>
      <c r="C110" t="s">
        <v>324</v>
      </c>
      <c r="D110" t="s">
        <v>320</v>
      </c>
    </row>
    <row r="111" spans="1:4">
      <c r="A111" t="s">
        <v>325</v>
      </c>
      <c r="B111" t="s">
        <v>318</v>
      </c>
      <c r="C111" t="s">
        <v>326</v>
      </c>
      <c r="D111" t="s">
        <v>320</v>
      </c>
    </row>
    <row r="112" spans="1:4">
      <c r="A112" t="s">
        <v>327</v>
      </c>
      <c r="B112" t="s">
        <v>318</v>
      </c>
      <c r="C112" t="s">
        <v>328</v>
      </c>
      <c r="D112" t="s">
        <v>320</v>
      </c>
    </row>
    <row r="113" spans="1:4">
      <c r="A113" t="s">
        <v>329</v>
      </c>
      <c r="B113" t="s">
        <v>318</v>
      </c>
      <c r="C113" t="s">
        <v>330</v>
      </c>
      <c r="D113" t="s">
        <v>320</v>
      </c>
    </row>
    <row r="114" spans="1:4">
      <c r="A114" t="s">
        <v>331</v>
      </c>
      <c r="B114" t="s">
        <v>318</v>
      </c>
      <c r="C114" t="s">
        <v>320</v>
      </c>
      <c r="D114" t="s">
        <v>320</v>
      </c>
    </row>
    <row r="115" spans="1:4">
      <c r="A115" t="s">
        <v>332</v>
      </c>
      <c r="B115" t="s">
        <v>333</v>
      </c>
      <c r="C115" t="s">
        <v>334</v>
      </c>
      <c r="D115" t="s">
        <v>334</v>
      </c>
    </row>
    <row r="116" spans="1:4">
      <c r="A116" t="s">
        <v>335</v>
      </c>
      <c r="B116" t="s">
        <v>336</v>
      </c>
      <c r="C116" t="s">
        <v>337</v>
      </c>
      <c r="D116" t="s">
        <v>338</v>
      </c>
    </row>
    <row r="117" spans="1:4">
      <c r="A117" t="s">
        <v>339</v>
      </c>
      <c r="B117" t="s">
        <v>336</v>
      </c>
      <c r="C117" t="s">
        <v>340</v>
      </c>
      <c r="D117" t="s">
        <v>338</v>
      </c>
    </row>
    <row r="118" spans="1:4">
      <c r="A118" t="s">
        <v>341</v>
      </c>
      <c r="B118" t="s">
        <v>342</v>
      </c>
      <c r="C118" t="s">
        <v>343</v>
      </c>
      <c r="D118" t="s">
        <v>344</v>
      </c>
    </row>
    <row r="119" spans="1:4">
      <c r="A119" t="s">
        <v>345</v>
      </c>
      <c r="B119" t="s">
        <v>342</v>
      </c>
      <c r="C119" t="s">
        <v>344</v>
      </c>
      <c r="D119" t="s">
        <v>344</v>
      </c>
    </row>
    <row r="120" spans="1:4">
      <c r="A120" t="s">
        <v>346</v>
      </c>
      <c r="B120" t="s">
        <v>347</v>
      </c>
      <c r="C120" t="s">
        <v>348</v>
      </c>
      <c r="D120" t="s">
        <v>348</v>
      </c>
    </row>
    <row r="121" spans="1:4">
      <c r="A121" t="s">
        <v>349</v>
      </c>
      <c r="B121" t="s">
        <v>350</v>
      </c>
      <c r="C121" t="s">
        <v>351</v>
      </c>
      <c r="D121" t="s">
        <v>351</v>
      </c>
    </row>
    <row r="122" spans="1:4">
      <c r="A122" t="s">
        <v>352</v>
      </c>
      <c r="B122" t="s">
        <v>353</v>
      </c>
      <c r="C122" t="s">
        <v>354</v>
      </c>
      <c r="D122" t="s">
        <v>354</v>
      </c>
    </row>
    <row r="123" spans="1:4">
      <c r="A123" t="s">
        <v>355</v>
      </c>
      <c r="B123" t="s">
        <v>356</v>
      </c>
      <c r="C123" t="s">
        <v>357</v>
      </c>
      <c r="D123" t="s">
        <v>357</v>
      </c>
    </row>
    <row r="124" spans="1:4">
      <c r="A124" t="s">
        <v>358</v>
      </c>
      <c r="B124" t="s">
        <v>359</v>
      </c>
      <c r="C124" t="s">
        <v>360</v>
      </c>
      <c r="D124" t="s">
        <v>360</v>
      </c>
    </row>
    <row r="125" spans="1:4">
      <c r="A125" t="s">
        <v>361</v>
      </c>
      <c r="B125" t="s">
        <v>362</v>
      </c>
      <c r="C125" t="s">
        <v>363</v>
      </c>
      <c r="D125" t="s">
        <v>364</v>
      </c>
    </row>
    <row r="126" spans="1:4">
      <c r="A126" t="s">
        <v>365</v>
      </c>
      <c r="B126" t="s">
        <v>366</v>
      </c>
      <c r="C126" t="s">
        <v>367</v>
      </c>
      <c r="D126" t="s">
        <v>367</v>
      </c>
    </row>
    <row r="127" spans="1:4">
      <c r="A127" t="s">
        <v>368</v>
      </c>
      <c r="B127" t="s">
        <v>369</v>
      </c>
      <c r="C127" t="s">
        <v>370</v>
      </c>
      <c r="D127" t="s">
        <v>370</v>
      </c>
    </row>
    <row r="128" spans="1:4">
      <c r="A128" t="s">
        <v>371</v>
      </c>
      <c r="B128" t="s">
        <v>372</v>
      </c>
      <c r="C128" t="s">
        <v>373</v>
      </c>
      <c r="D128" t="s">
        <v>373</v>
      </c>
    </row>
    <row r="129" spans="1:4">
      <c r="A129" t="s">
        <v>374</v>
      </c>
      <c r="B129" t="s">
        <v>375</v>
      </c>
      <c r="C129" t="s">
        <v>376</v>
      </c>
      <c r="D129" t="s">
        <v>376</v>
      </c>
    </row>
    <row r="130" spans="1:4">
      <c r="A130" t="s">
        <v>377</v>
      </c>
      <c r="B130" t="s">
        <v>378</v>
      </c>
      <c r="C130" t="s">
        <v>379</v>
      </c>
      <c r="D130" t="s">
        <v>379</v>
      </c>
    </row>
    <row r="131" spans="1:4">
      <c r="A131" t="s">
        <v>380</v>
      </c>
      <c r="B131" t="s">
        <v>381</v>
      </c>
      <c r="C131" t="s">
        <v>382</v>
      </c>
      <c r="D131" t="s">
        <v>382</v>
      </c>
    </row>
    <row r="132" spans="1:4">
      <c r="A132" t="s">
        <v>383</v>
      </c>
      <c r="B132" t="s">
        <v>384</v>
      </c>
      <c r="C132" t="s">
        <v>385</v>
      </c>
      <c r="D132" t="s">
        <v>385</v>
      </c>
    </row>
    <row r="133" spans="1:4">
      <c r="A133" t="s">
        <v>386</v>
      </c>
      <c r="B133" t="s">
        <v>387</v>
      </c>
      <c r="C133" t="s">
        <v>388</v>
      </c>
      <c r="D133" t="s">
        <v>388</v>
      </c>
    </row>
    <row r="134" spans="1:4">
      <c r="A134" t="s">
        <v>389</v>
      </c>
      <c r="B134" t="s">
        <v>390</v>
      </c>
      <c r="C134" t="s">
        <v>391</v>
      </c>
      <c r="D134" t="s">
        <v>391</v>
      </c>
    </row>
    <row r="135" spans="1:4">
      <c r="A135" t="s">
        <v>392</v>
      </c>
      <c r="B135" t="s">
        <v>393</v>
      </c>
      <c r="C135" t="s">
        <v>394</v>
      </c>
      <c r="D135" t="s">
        <v>394</v>
      </c>
    </row>
    <row r="136" spans="1:4">
      <c r="A136" t="s">
        <v>395</v>
      </c>
      <c r="B136" t="s">
        <v>396</v>
      </c>
      <c r="C136" t="s">
        <v>397</v>
      </c>
      <c r="D136" t="s">
        <v>397</v>
      </c>
    </row>
    <row r="137" spans="1:4">
      <c r="A137" t="s">
        <v>398</v>
      </c>
      <c r="B137" t="s">
        <v>399</v>
      </c>
      <c r="C137" t="s">
        <v>400</v>
      </c>
      <c r="D137" t="s">
        <v>400</v>
      </c>
    </row>
    <row r="138" spans="1:4">
      <c r="A138" t="s">
        <v>401</v>
      </c>
      <c r="B138" t="s">
        <v>402</v>
      </c>
      <c r="C138" t="s">
        <v>403</v>
      </c>
      <c r="D138" t="s">
        <v>403</v>
      </c>
    </row>
    <row r="139" spans="1:4">
      <c r="A139" t="s">
        <v>404</v>
      </c>
      <c r="B139" t="s">
        <v>405</v>
      </c>
      <c r="C139" t="s">
        <v>406</v>
      </c>
      <c r="D139" t="s">
        <v>406</v>
      </c>
    </row>
    <row r="140" spans="1:4">
      <c r="A140" t="s">
        <v>407</v>
      </c>
      <c r="B140" t="s">
        <v>408</v>
      </c>
      <c r="C140" t="s">
        <v>409</v>
      </c>
      <c r="D140" t="s">
        <v>409</v>
      </c>
    </row>
    <row r="141" spans="1:4">
      <c r="A141" t="s">
        <v>410</v>
      </c>
      <c r="B141" t="s">
        <v>411</v>
      </c>
      <c r="C141" t="s">
        <v>412</v>
      </c>
      <c r="D141" t="s">
        <v>412</v>
      </c>
    </row>
    <row r="142" spans="1:4">
      <c r="A142" t="s">
        <v>413</v>
      </c>
      <c r="B142" t="s">
        <v>414</v>
      </c>
      <c r="C142" t="s">
        <v>415</v>
      </c>
      <c r="D142" t="s">
        <v>415</v>
      </c>
    </row>
    <row r="143" spans="1:4">
      <c r="A143" t="s">
        <v>416</v>
      </c>
      <c r="B143" t="s">
        <v>417</v>
      </c>
      <c r="C143" t="s">
        <v>418</v>
      </c>
      <c r="D143" t="s">
        <v>418</v>
      </c>
    </row>
    <row r="144" spans="1:4">
      <c r="A144" t="s">
        <v>419</v>
      </c>
      <c r="B144" t="s">
        <v>420</v>
      </c>
      <c r="C144" t="s">
        <v>421</v>
      </c>
      <c r="D144" t="s">
        <v>421</v>
      </c>
    </row>
    <row r="145" spans="1:4">
      <c r="A145" t="s">
        <v>422</v>
      </c>
      <c r="B145" t="s">
        <v>423</v>
      </c>
      <c r="C145" t="s">
        <v>424</v>
      </c>
      <c r="D145" t="s">
        <v>424</v>
      </c>
    </row>
    <row r="146" spans="1:4">
      <c r="A146" t="s">
        <v>425</v>
      </c>
      <c r="B146" t="s">
        <v>426</v>
      </c>
      <c r="C146" t="s">
        <v>427</v>
      </c>
      <c r="D146" t="s">
        <v>427</v>
      </c>
    </row>
    <row r="147" spans="1:4">
      <c r="A147" t="s">
        <v>428</v>
      </c>
      <c r="B147" t="s">
        <v>429</v>
      </c>
      <c r="C147" t="s">
        <v>430</v>
      </c>
      <c r="D147" t="s">
        <v>430</v>
      </c>
    </row>
    <row r="148" spans="1:4">
      <c r="A148" t="s">
        <v>431</v>
      </c>
      <c r="B148" t="s">
        <v>432</v>
      </c>
      <c r="C148" t="s">
        <v>433</v>
      </c>
      <c r="D148" t="s">
        <v>433</v>
      </c>
    </row>
    <row r="149" spans="1:4">
      <c r="A149" t="s">
        <v>434</v>
      </c>
      <c r="B149" t="s">
        <v>435</v>
      </c>
      <c r="C149" t="s">
        <v>436</v>
      </c>
      <c r="D149" t="s">
        <v>436</v>
      </c>
    </row>
    <row r="150" spans="1:4">
      <c r="A150" t="s">
        <v>437</v>
      </c>
      <c r="B150" t="s">
        <v>438</v>
      </c>
      <c r="C150" t="s">
        <v>439</v>
      </c>
      <c r="D150" t="s">
        <v>439</v>
      </c>
    </row>
    <row r="151" spans="1:4">
      <c r="A151" t="s">
        <v>440</v>
      </c>
      <c r="B151" t="s">
        <v>441</v>
      </c>
      <c r="C151" t="s">
        <v>442</v>
      </c>
      <c r="D151" t="s">
        <v>442</v>
      </c>
    </row>
    <row r="152" spans="1:4">
      <c r="A152" t="s">
        <v>443</v>
      </c>
      <c r="B152" t="s">
        <v>444</v>
      </c>
      <c r="C152" t="s">
        <v>445</v>
      </c>
      <c r="D152" t="s">
        <v>445</v>
      </c>
    </row>
    <row r="153" spans="1:4">
      <c r="A153" t="s">
        <v>446</v>
      </c>
      <c r="B153" t="s">
        <v>447</v>
      </c>
      <c r="C153" t="s">
        <v>448</v>
      </c>
      <c r="D153" t="s">
        <v>448</v>
      </c>
    </row>
    <row r="154" spans="1:4">
      <c r="A154" t="s">
        <v>449</v>
      </c>
      <c r="B154" t="s">
        <v>450</v>
      </c>
      <c r="C154" t="s">
        <v>451</v>
      </c>
      <c r="D154" t="s">
        <v>451</v>
      </c>
    </row>
    <row r="155" spans="1:4">
      <c r="A155" t="s">
        <v>452</v>
      </c>
      <c r="B155" t="s">
        <v>453</v>
      </c>
      <c r="C155" t="s">
        <v>454</v>
      </c>
      <c r="D155" t="s">
        <v>454</v>
      </c>
    </row>
    <row r="156" spans="1:4">
      <c r="A156" t="s">
        <v>455</v>
      </c>
      <c r="B156" t="s">
        <v>456</v>
      </c>
      <c r="C156" t="s">
        <v>457</v>
      </c>
      <c r="D156" t="s">
        <v>457</v>
      </c>
    </row>
    <row r="157" spans="1:4">
      <c r="A157" t="s">
        <v>458</v>
      </c>
      <c r="B157" t="s">
        <v>459</v>
      </c>
      <c r="C157" t="s">
        <v>460</v>
      </c>
      <c r="D157" t="s">
        <v>460</v>
      </c>
    </row>
    <row r="158" spans="1:4">
      <c r="A158" t="s">
        <v>461</v>
      </c>
      <c r="B158" t="s">
        <v>462</v>
      </c>
      <c r="C158" t="s">
        <v>463</v>
      </c>
      <c r="D158" t="s">
        <v>463</v>
      </c>
    </row>
    <row r="159" spans="1:4">
      <c r="A159" t="s">
        <v>464</v>
      </c>
      <c r="B159" t="s">
        <v>465</v>
      </c>
      <c r="C159" t="s">
        <v>466</v>
      </c>
      <c r="D159" t="s">
        <v>466</v>
      </c>
    </row>
    <row r="160" spans="1:4">
      <c r="A160" t="s">
        <v>467</v>
      </c>
      <c r="B160" t="s">
        <v>468</v>
      </c>
      <c r="C160" t="s">
        <v>469</v>
      </c>
      <c r="D160" t="s">
        <v>469</v>
      </c>
    </row>
    <row r="161" spans="1:4">
      <c r="A161" t="s">
        <v>470</v>
      </c>
      <c r="B161" t="s">
        <v>471</v>
      </c>
      <c r="C161" t="s">
        <v>472</v>
      </c>
      <c r="D161" t="s">
        <v>472</v>
      </c>
    </row>
    <row r="162" spans="1:4">
      <c r="A162" t="s">
        <v>473</v>
      </c>
      <c r="B162" t="s">
        <v>474</v>
      </c>
      <c r="C162" t="s">
        <v>475</v>
      </c>
      <c r="D162" t="s">
        <v>475</v>
      </c>
    </row>
    <row r="163" spans="1:4">
      <c r="A163" t="s">
        <v>476</v>
      </c>
      <c r="B163" t="s">
        <v>477</v>
      </c>
      <c r="C163" t="s">
        <v>478</v>
      </c>
      <c r="D163" t="s">
        <v>478</v>
      </c>
    </row>
    <row r="164" spans="1:4">
      <c r="A164" t="s">
        <v>479</v>
      </c>
      <c r="B164" t="s">
        <v>480</v>
      </c>
      <c r="C164" t="s">
        <v>481</v>
      </c>
      <c r="D164" t="s">
        <v>481</v>
      </c>
    </row>
    <row r="165" spans="1:4">
      <c r="A165" t="s">
        <v>482</v>
      </c>
      <c r="B165" t="s">
        <v>483</v>
      </c>
      <c r="C165" t="s">
        <v>484</v>
      </c>
      <c r="D165" t="s">
        <v>484</v>
      </c>
    </row>
    <row r="166" spans="1:4">
      <c r="A166" t="s">
        <v>485</v>
      </c>
      <c r="B166" t="s">
        <v>486</v>
      </c>
      <c r="C166" t="s">
        <v>487</v>
      </c>
      <c r="D166" t="s">
        <v>487</v>
      </c>
    </row>
    <row r="167" spans="1:4">
      <c r="A167" t="s">
        <v>488</v>
      </c>
      <c r="B167" t="s">
        <v>489</v>
      </c>
      <c r="C167" t="s">
        <v>490</v>
      </c>
      <c r="D167" t="s">
        <v>490</v>
      </c>
    </row>
    <row r="168" spans="1:4">
      <c r="A168" t="s">
        <v>491</v>
      </c>
      <c r="B168" t="s">
        <v>492</v>
      </c>
      <c r="C168" t="s">
        <v>493</v>
      </c>
      <c r="D168" t="s">
        <v>493</v>
      </c>
    </row>
    <row r="169" spans="1:4">
      <c r="A169" t="s">
        <v>494</v>
      </c>
      <c r="B169" t="s">
        <v>495</v>
      </c>
      <c r="C169" t="s">
        <v>496</v>
      </c>
      <c r="D169" t="s">
        <v>496</v>
      </c>
    </row>
    <row r="170" spans="1:4">
      <c r="A170" t="s">
        <v>497</v>
      </c>
      <c r="B170" t="s">
        <v>498</v>
      </c>
      <c r="C170" t="s">
        <v>499</v>
      </c>
      <c r="D170" t="s">
        <v>499</v>
      </c>
    </row>
    <row r="171" spans="1:4">
      <c r="A171" t="s">
        <v>500</v>
      </c>
      <c r="B171" t="s">
        <v>501</v>
      </c>
      <c r="C171" t="s">
        <v>502</v>
      </c>
      <c r="D171" t="s">
        <v>502</v>
      </c>
    </row>
    <row r="172" spans="1:4">
      <c r="A172" t="s">
        <v>503</v>
      </c>
      <c r="B172" t="s">
        <v>504</v>
      </c>
      <c r="C172" t="s">
        <v>505</v>
      </c>
      <c r="D172" t="s">
        <v>505</v>
      </c>
    </row>
    <row r="173" spans="1:4">
      <c r="A173" t="s">
        <v>506</v>
      </c>
      <c r="B173" t="s">
        <v>507</v>
      </c>
      <c r="C173" t="s">
        <v>508</v>
      </c>
      <c r="D173" t="s">
        <v>508</v>
      </c>
    </row>
    <row r="174" spans="1:4">
      <c r="A174" t="s">
        <v>509</v>
      </c>
      <c r="B174" t="s">
        <v>510</v>
      </c>
      <c r="C174" t="s">
        <v>511</v>
      </c>
      <c r="D174" t="s">
        <v>511</v>
      </c>
    </row>
    <row r="175" spans="1:4">
      <c r="A175" t="s">
        <v>512</v>
      </c>
      <c r="B175" t="s">
        <v>513</v>
      </c>
      <c r="C175" t="s">
        <v>514</v>
      </c>
      <c r="D175" t="s">
        <v>515</v>
      </c>
    </row>
    <row r="176" spans="1:4">
      <c r="A176" t="s">
        <v>516</v>
      </c>
      <c r="B176" t="s">
        <v>517</v>
      </c>
      <c r="C176" t="s">
        <v>518</v>
      </c>
      <c r="D176" t="s">
        <v>518</v>
      </c>
    </row>
    <row r="177" spans="1:4">
      <c r="A177" t="s">
        <v>519</v>
      </c>
      <c r="B177" t="s">
        <v>520</v>
      </c>
      <c r="C177" t="s">
        <v>521</v>
      </c>
      <c r="D177" t="s">
        <v>521</v>
      </c>
    </row>
    <row r="178" spans="1:4">
      <c r="A178" t="s">
        <v>522</v>
      </c>
      <c r="B178" t="s">
        <v>523</v>
      </c>
      <c r="C178" t="s">
        <v>524</v>
      </c>
      <c r="D178" t="s">
        <v>524</v>
      </c>
    </row>
    <row r="179" spans="1:4">
      <c r="A179" t="s">
        <v>525</v>
      </c>
      <c r="B179" t="s">
        <v>526</v>
      </c>
      <c r="C179" t="s">
        <v>527</v>
      </c>
      <c r="D179" t="s">
        <v>527</v>
      </c>
    </row>
    <row r="180" spans="1:4">
      <c r="A180" t="s">
        <v>528</v>
      </c>
      <c r="B180" t="s">
        <v>529</v>
      </c>
      <c r="C180" t="s">
        <v>530</v>
      </c>
      <c r="D180" t="s">
        <v>530</v>
      </c>
    </row>
    <row r="181" spans="1:4">
      <c r="A181" t="s">
        <v>531</v>
      </c>
      <c r="B181" t="s">
        <v>532</v>
      </c>
      <c r="C181" t="s">
        <v>533</v>
      </c>
      <c r="D181" t="s">
        <v>533</v>
      </c>
    </row>
    <row r="182" spans="1:4">
      <c r="A182" t="s">
        <v>534</v>
      </c>
      <c r="B182" t="s">
        <v>535</v>
      </c>
      <c r="C182" t="s">
        <v>536</v>
      </c>
      <c r="D182" t="s">
        <v>536</v>
      </c>
    </row>
    <row r="183" spans="1:4">
      <c r="A183" t="s">
        <v>537</v>
      </c>
      <c r="B183" t="s">
        <v>538</v>
      </c>
      <c r="C183" t="s">
        <v>539</v>
      </c>
      <c r="D183" t="s">
        <v>539</v>
      </c>
    </row>
    <row r="184" spans="1:4">
      <c r="A184" t="s">
        <v>540</v>
      </c>
      <c r="B184" t="s">
        <v>541</v>
      </c>
      <c r="C184" t="s">
        <v>542</v>
      </c>
      <c r="D184" t="s">
        <v>542</v>
      </c>
    </row>
    <row r="185" spans="1:4">
      <c r="A185" t="s">
        <v>543</v>
      </c>
      <c r="B185" t="s">
        <v>543</v>
      </c>
      <c r="C185" t="s">
        <v>544</v>
      </c>
      <c r="D185" t="s">
        <v>544</v>
      </c>
    </row>
    <row r="186" spans="1:4">
      <c r="A186" t="s">
        <v>545</v>
      </c>
      <c r="B186" t="s">
        <v>545</v>
      </c>
      <c r="C186" t="s">
        <v>546</v>
      </c>
      <c r="D186" t="s">
        <v>546</v>
      </c>
    </row>
    <row r="187" spans="1:4">
      <c r="A187" t="s">
        <v>547</v>
      </c>
      <c r="B187" t="s">
        <v>547</v>
      </c>
      <c r="C187" t="s">
        <v>548</v>
      </c>
      <c r="D187" t="s">
        <v>548</v>
      </c>
    </row>
    <row r="188" spans="1:4">
      <c r="A188" t="s">
        <v>549</v>
      </c>
      <c r="B188" t="s">
        <v>549</v>
      </c>
      <c r="C188" t="s">
        <v>550</v>
      </c>
      <c r="D188" t="s">
        <v>550</v>
      </c>
    </row>
    <row r="189" spans="1:4">
      <c r="A189" t="s">
        <v>551</v>
      </c>
      <c r="B189" t="s">
        <v>551</v>
      </c>
      <c r="C189" t="s">
        <v>552</v>
      </c>
      <c r="D189" t="s">
        <v>552</v>
      </c>
    </row>
    <row r="190" spans="1:4">
      <c r="A190" t="s">
        <v>553</v>
      </c>
      <c r="B190" t="s">
        <v>553</v>
      </c>
      <c r="C190" t="s">
        <v>554</v>
      </c>
      <c r="D190" t="s">
        <v>554</v>
      </c>
    </row>
    <row r="191" spans="1:4">
      <c r="A191" t="s">
        <v>555</v>
      </c>
      <c r="B191" t="s">
        <v>555</v>
      </c>
      <c r="C191" t="s">
        <v>556</v>
      </c>
      <c r="D191" t="s">
        <v>556</v>
      </c>
    </row>
    <row r="192" spans="1:4">
      <c r="A192" t="s">
        <v>557</v>
      </c>
      <c r="B192" t="s">
        <v>557</v>
      </c>
      <c r="C192" t="s">
        <v>557</v>
      </c>
      <c r="D192" t="s">
        <v>557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6"/>
  <sheetViews>
    <sheetView zoomScaleNormal="100" workbookViewId="0">
      <pane ySplit="2" topLeftCell="A24" activePane="bottomLeft" state="frozen"/>
      <selection pane="bottomLeft" activeCell="E25" sqref="E25"/>
    </sheetView>
  </sheetViews>
  <sheetFormatPr defaultColWidth="10.6640625" defaultRowHeight="13.8"/>
  <cols>
    <col min="3" max="5" width="15.5546875" customWidth="1"/>
    <col min="6" max="6" width="23.77734375" customWidth="1"/>
  </cols>
  <sheetData>
    <row r="2" spans="1:6" ht="14.4">
      <c r="A2" s="2" t="s">
        <v>2</v>
      </c>
      <c r="B2" s="2" t="s">
        <v>558</v>
      </c>
      <c r="C2" s="2" t="s">
        <v>1</v>
      </c>
      <c r="D2" s="2" t="s">
        <v>559</v>
      </c>
      <c r="E2" s="2" t="s">
        <v>560</v>
      </c>
      <c r="F2" s="2" t="s">
        <v>4</v>
      </c>
    </row>
    <row r="3" spans="1:6">
      <c r="A3" t="s">
        <v>6</v>
      </c>
      <c r="B3" t="s">
        <v>561</v>
      </c>
      <c r="C3" t="s">
        <v>5</v>
      </c>
      <c r="D3" t="s">
        <v>557</v>
      </c>
      <c r="E3" t="s">
        <v>557</v>
      </c>
      <c r="F3" t="s">
        <v>7</v>
      </c>
    </row>
    <row r="4" spans="1:6">
      <c r="A4" t="s">
        <v>9</v>
      </c>
      <c r="B4" t="s">
        <v>561</v>
      </c>
      <c r="C4" t="s">
        <v>8</v>
      </c>
      <c r="D4" t="s">
        <v>557</v>
      </c>
      <c r="E4" t="s">
        <v>557</v>
      </c>
      <c r="F4" t="s">
        <v>10</v>
      </c>
    </row>
    <row r="5" spans="1:6">
      <c r="A5" t="s">
        <v>12</v>
      </c>
      <c r="B5" t="s">
        <v>561</v>
      </c>
      <c r="C5" t="s">
        <v>11</v>
      </c>
      <c r="D5" t="s">
        <v>557</v>
      </c>
      <c r="E5" t="s">
        <v>557</v>
      </c>
      <c r="F5" t="s">
        <v>562</v>
      </c>
    </row>
    <row r="6" spans="1:6">
      <c r="A6" t="s">
        <v>16</v>
      </c>
      <c r="B6" t="s">
        <v>561</v>
      </c>
      <c r="C6" t="s">
        <v>15</v>
      </c>
      <c r="D6" t="s">
        <v>557</v>
      </c>
      <c r="E6" t="s">
        <v>557</v>
      </c>
      <c r="F6" t="s">
        <v>17</v>
      </c>
    </row>
    <row r="7" spans="1:6">
      <c r="A7" t="s">
        <v>19</v>
      </c>
      <c r="B7" t="s">
        <v>561</v>
      </c>
      <c r="C7" t="s">
        <v>18</v>
      </c>
      <c r="D7" t="s">
        <v>557</v>
      </c>
      <c r="E7" t="s">
        <v>557</v>
      </c>
      <c r="F7" t="s">
        <v>20</v>
      </c>
    </row>
    <row r="8" spans="1:6">
      <c r="A8" t="s">
        <v>22</v>
      </c>
      <c r="B8" t="s">
        <v>561</v>
      </c>
      <c r="C8" t="s">
        <v>21</v>
      </c>
      <c r="D8" t="s">
        <v>557</v>
      </c>
      <c r="E8" t="s">
        <v>557</v>
      </c>
      <c r="F8" t="s">
        <v>23</v>
      </c>
    </row>
    <row r="9" spans="1:6">
      <c r="A9" t="s">
        <v>25</v>
      </c>
      <c r="B9" t="s">
        <v>561</v>
      </c>
      <c r="C9" t="s">
        <v>24</v>
      </c>
      <c r="D9" t="s">
        <v>557</v>
      </c>
      <c r="E9" t="s">
        <v>557</v>
      </c>
      <c r="F9" t="s">
        <v>26</v>
      </c>
    </row>
    <row r="10" spans="1:6">
      <c r="A10" t="s">
        <v>28</v>
      </c>
      <c r="B10" t="s">
        <v>561</v>
      </c>
      <c r="C10" t="s">
        <v>27</v>
      </c>
      <c r="D10" t="s">
        <v>557</v>
      </c>
      <c r="E10" t="s">
        <v>557</v>
      </c>
      <c r="F10" t="s">
        <v>29</v>
      </c>
    </row>
    <row r="11" spans="1:6">
      <c r="A11" t="s">
        <v>31</v>
      </c>
      <c r="B11" t="s">
        <v>561</v>
      </c>
      <c r="C11" t="s">
        <v>30</v>
      </c>
      <c r="D11" t="s">
        <v>557</v>
      </c>
      <c r="E11" t="s">
        <v>557</v>
      </c>
      <c r="F11" t="s">
        <v>32</v>
      </c>
    </row>
    <row r="12" spans="1:6">
      <c r="A12" t="s">
        <v>34</v>
      </c>
      <c r="B12" t="s">
        <v>561</v>
      </c>
      <c r="C12" t="s">
        <v>33</v>
      </c>
      <c r="D12" t="s">
        <v>557</v>
      </c>
      <c r="E12" t="s">
        <v>557</v>
      </c>
      <c r="F12" t="s">
        <v>35</v>
      </c>
    </row>
    <row r="13" spans="1:6">
      <c r="A13" t="s">
        <v>37</v>
      </c>
      <c r="B13" t="s">
        <v>561</v>
      </c>
      <c r="C13" t="s">
        <v>36</v>
      </c>
      <c r="D13" t="s">
        <v>557</v>
      </c>
      <c r="E13" t="s">
        <v>557</v>
      </c>
      <c r="F13" t="s">
        <v>38</v>
      </c>
    </row>
    <row r="14" spans="1:6">
      <c r="A14" t="s">
        <v>40</v>
      </c>
      <c r="B14" t="s">
        <v>561</v>
      </c>
      <c r="C14" t="s">
        <v>39</v>
      </c>
      <c r="D14" t="s">
        <v>557</v>
      </c>
      <c r="E14" t="s">
        <v>557</v>
      </c>
      <c r="F14" t="s">
        <v>41</v>
      </c>
    </row>
    <row r="15" spans="1:6">
      <c r="A15" t="s">
        <v>43</v>
      </c>
      <c r="B15" t="s">
        <v>561</v>
      </c>
      <c r="C15" t="s">
        <v>42</v>
      </c>
      <c r="D15" t="s">
        <v>557</v>
      </c>
      <c r="E15" t="s">
        <v>557</v>
      </c>
      <c r="F15" t="s">
        <v>44</v>
      </c>
    </row>
    <row r="16" spans="1:6">
      <c r="A16" t="s">
        <v>46</v>
      </c>
      <c r="B16" t="s">
        <v>561</v>
      </c>
      <c r="C16" t="s">
        <v>45</v>
      </c>
      <c r="D16" t="s">
        <v>557</v>
      </c>
      <c r="E16" t="s">
        <v>557</v>
      </c>
      <c r="F16" t="s">
        <v>47</v>
      </c>
    </row>
    <row r="17" spans="1:6">
      <c r="A17" t="s">
        <v>49</v>
      </c>
      <c r="B17" t="s">
        <v>561</v>
      </c>
      <c r="C17" t="s">
        <v>48</v>
      </c>
      <c r="D17" t="s">
        <v>557</v>
      </c>
      <c r="E17" t="s">
        <v>557</v>
      </c>
      <c r="F17" t="s">
        <v>50</v>
      </c>
    </row>
    <row r="18" spans="1:6">
      <c r="A18" t="s">
        <v>52</v>
      </c>
      <c r="B18" t="s">
        <v>561</v>
      </c>
      <c r="C18" t="s">
        <v>51</v>
      </c>
      <c r="D18" t="s">
        <v>557</v>
      </c>
      <c r="E18" t="s">
        <v>557</v>
      </c>
      <c r="F18" t="s">
        <v>53</v>
      </c>
    </row>
    <row r="19" spans="1:6">
      <c r="A19" t="s">
        <v>55</v>
      </c>
      <c r="B19" t="s">
        <v>561</v>
      </c>
      <c r="C19" t="s">
        <v>54</v>
      </c>
      <c r="D19" t="s">
        <v>557</v>
      </c>
      <c r="E19" t="s">
        <v>557</v>
      </c>
      <c r="F19" t="s">
        <v>56</v>
      </c>
    </row>
    <row r="20" spans="1:6">
      <c r="A20" t="s">
        <v>58</v>
      </c>
      <c r="B20" t="s">
        <v>561</v>
      </c>
      <c r="C20" s="3" t="s">
        <v>563</v>
      </c>
      <c r="D20" t="s">
        <v>557</v>
      </c>
      <c r="E20" t="s">
        <v>557</v>
      </c>
      <c r="F20" t="s">
        <v>60</v>
      </c>
    </row>
    <row r="21" spans="1:6">
      <c r="A21" t="s">
        <v>63</v>
      </c>
      <c r="B21" t="s">
        <v>564</v>
      </c>
      <c r="C21" t="s">
        <v>62</v>
      </c>
      <c r="D21" t="s">
        <v>557</v>
      </c>
      <c r="E21" t="s">
        <v>557</v>
      </c>
      <c r="F21" t="s">
        <v>64</v>
      </c>
    </row>
    <row r="22" spans="1:6">
      <c r="A22" t="s">
        <v>66</v>
      </c>
      <c r="B22" t="s">
        <v>565</v>
      </c>
      <c r="C22" t="s">
        <v>65</v>
      </c>
      <c r="D22" t="s">
        <v>557</v>
      </c>
      <c r="E22" t="s">
        <v>557</v>
      </c>
      <c r="F22" t="s">
        <v>67</v>
      </c>
    </row>
    <row r="23" spans="1:6">
      <c r="A23" t="s">
        <v>69</v>
      </c>
      <c r="B23" t="s">
        <v>566</v>
      </c>
      <c r="C23" t="s">
        <v>68</v>
      </c>
      <c r="D23" t="s">
        <v>69</v>
      </c>
      <c r="E23" t="s">
        <v>69</v>
      </c>
      <c r="F23" t="s">
        <v>70</v>
      </c>
    </row>
    <row r="24" spans="1:6">
      <c r="A24" t="s">
        <v>72</v>
      </c>
      <c r="B24" t="s">
        <v>566</v>
      </c>
      <c r="C24" t="s">
        <v>71</v>
      </c>
      <c r="D24" t="s">
        <v>72</v>
      </c>
      <c r="E24" t="s">
        <v>72</v>
      </c>
      <c r="F24" t="s">
        <v>73</v>
      </c>
    </row>
    <row r="25" spans="1:6">
      <c r="A25" t="s">
        <v>75</v>
      </c>
      <c r="B25" t="s">
        <v>566</v>
      </c>
      <c r="C25" t="s">
        <v>74</v>
      </c>
      <c r="D25" t="s">
        <v>75</v>
      </c>
      <c r="E25" t="s">
        <v>567</v>
      </c>
      <c r="F25" t="s">
        <v>76</v>
      </c>
    </row>
    <row r="26" spans="1:6">
      <c r="A26" t="s">
        <v>78</v>
      </c>
      <c r="B26" t="s">
        <v>566</v>
      </c>
      <c r="C26" t="s">
        <v>77</v>
      </c>
      <c r="D26" t="s">
        <v>78</v>
      </c>
      <c r="E26" t="s">
        <v>567</v>
      </c>
      <c r="F26" t="s">
        <v>79</v>
      </c>
    </row>
    <row r="27" spans="1:6">
      <c r="A27" t="s">
        <v>81</v>
      </c>
      <c r="B27" t="s">
        <v>566</v>
      </c>
      <c r="C27" t="s">
        <v>80</v>
      </c>
      <c r="D27" t="s">
        <v>81</v>
      </c>
      <c r="E27" t="s">
        <v>567</v>
      </c>
      <c r="F27" t="s">
        <v>82</v>
      </c>
    </row>
    <row r="28" spans="1:6">
      <c r="A28" t="s">
        <v>84</v>
      </c>
      <c r="B28" t="s">
        <v>566</v>
      </c>
      <c r="C28" t="s">
        <v>83</v>
      </c>
      <c r="D28" t="s">
        <v>84</v>
      </c>
      <c r="E28" t="s">
        <v>84</v>
      </c>
      <c r="F28" t="s">
        <v>85</v>
      </c>
    </row>
    <row r="29" spans="1:6">
      <c r="A29" t="s">
        <v>87</v>
      </c>
      <c r="B29" t="s">
        <v>566</v>
      </c>
      <c r="C29" t="s">
        <v>86</v>
      </c>
      <c r="D29" t="s">
        <v>87</v>
      </c>
      <c r="E29" t="s">
        <v>568</v>
      </c>
      <c r="F29" t="s">
        <v>88</v>
      </c>
    </row>
    <row r="30" spans="1:6">
      <c r="A30" t="s">
        <v>90</v>
      </c>
      <c r="B30" t="s">
        <v>566</v>
      </c>
      <c r="C30" t="s">
        <v>89</v>
      </c>
      <c r="D30" t="s">
        <v>569</v>
      </c>
      <c r="E30" t="s">
        <v>568</v>
      </c>
      <c r="F30" t="s">
        <v>91</v>
      </c>
    </row>
    <row r="31" spans="1:6">
      <c r="A31" t="s">
        <v>93</v>
      </c>
      <c r="B31" t="s">
        <v>566</v>
      </c>
      <c r="C31" t="s">
        <v>92</v>
      </c>
      <c r="D31" t="s">
        <v>569</v>
      </c>
      <c r="E31" t="s">
        <v>568</v>
      </c>
      <c r="F31" t="s">
        <v>94</v>
      </c>
    </row>
    <row r="32" spans="1:6">
      <c r="A32" t="s">
        <v>96</v>
      </c>
      <c r="B32" t="s">
        <v>566</v>
      </c>
      <c r="C32" t="s">
        <v>95</v>
      </c>
      <c r="D32" t="s">
        <v>569</v>
      </c>
      <c r="E32" t="s">
        <v>568</v>
      </c>
      <c r="F32" t="s">
        <v>97</v>
      </c>
    </row>
    <row r="33" spans="1:6">
      <c r="A33" t="s">
        <v>99</v>
      </c>
      <c r="B33" t="s">
        <v>566</v>
      </c>
      <c r="C33" t="s">
        <v>98</v>
      </c>
      <c r="D33" t="s">
        <v>569</v>
      </c>
      <c r="E33" t="s">
        <v>568</v>
      </c>
      <c r="F33" t="s">
        <v>100</v>
      </c>
    </row>
    <row r="34" spans="1:6">
      <c r="A34" t="s">
        <v>102</v>
      </c>
      <c r="B34" t="s">
        <v>566</v>
      </c>
      <c r="C34" t="s">
        <v>101</v>
      </c>
      <c r="D34" t="s">
        <v>569</v>
      </c>
      <c r="E34" t="s">
        <v>568</v>
      </c>
      <c r="F34" t="s">
        <v>103</v>
      </c>
    </row>
    <row r="35" spans="1:6">
      <c r="A35" t="s">
        <v>105</v>
      </c>
      <c r="B35" t="s">
        <v>566</v>
      </c>
      <c r="C35" t="s">
        <v>104</v>
      </c>
      <c r="D35" t="s">
        <v>569</v>
      </c>
      <c r="E35" t="s">
        <v>568</v>
      </c>
      <c r="F35" t="s">
        <v>107</v>
      </c>
    </row>
    <row r="36" spans="1:6">
      <c r="A36" t="s">
        <v>109</v>
      </c>
      <c r="B36" t="s">
        <v>566</v>
      </c>
      <c r="C36" t="s">
        <v>108</v>
      </c>
      <c r="D36" t="s">
        <v>569</v>
      </c>
      <c r="E36" t="s">
        <v>568</v>
      </c>
      <c r="F36" t="s">
        <v>110</v>
      </c>
    </row>
    <row r="37" spans="1:6">
      <c r="A37" t="s">
        <v>112</v>
      </c>
      <c r="B37" t="s">
        <v>566</v>
      </c>
      <c r="C37" t="s">
        <v>111</v>
      </c>
      <c r="D37" t="s">
        <v>569</v>
      </c>
      <c r="E37" t="s">
        <v>568</v>
      </c>
      <c r="F37" t="s">
        <v>113</v>
      </c>
    </row>
    <row r="38" spans="1:6">
      <c r="A38" t="s">
        <v>115</v>
      </c>
      <c r="B38" t="s">
        <v>566</v>
      </c>
      <c r="C38" t="s">
        <v>114</v>
      </c>
      <c r="D38" t="s">
        <v>569</v>
      </c>
      <c r="E38" t="s">
        <v>568</v>
      </c>
      <c r="F38" t="s">
        <v>116</v>
      </c>
    </row>
    <row r="39" spans="1:6">
      <c r="A39" t="s">
        <v>118</v>
      </c>
      <c r="B39" t="s">
        <v>566</v>
      </c>
      <c r="C39" s="3" t="s">
        <v>570</v>
      </c>
      <c r="D39" t="s">
        <v>569</v>
      </c>
      <c r="E39" t="s">
        <v>568</v>
      </c>
      <c r="F39" t="s">
        <v>120</v>
      </c>
    </row>
    <row r="40" spans="1:6">
      <c r="A40" t="s">
        <v>133</v>
      </c>
      <c r="B40" t="s">
        <v>566</v>
      </c>
      <c r="C40" t="s">
        <v>132</v>
      </c>
      <c r="D40" t="s">
        <v>571</v>
      </c>
      <c r="E40" t="s">
        <v>572</v>
      </c>
      <c r="F40" t="s">
        <v>134</v>
      </c>
    </row>
    <row r="41" spans="1:6">
      <c r="A41" t="s">
        <v>136</v>
      </c>
      <c r="B41" t="s">
        <v>566</v>
      </c>
      <c r="C41" t="s">
        <v>135</v>
      </c>
      <c r="D41" t="s">
        <v>571</v>
      </c>
      <c r="E41" t="s">
        <v>572</v>
      </c>
      <c r="F41" t="s">
        <v>137</v>
      </c>
    </row>
    <row r="42" spans="1:6">
      <c r="A42" t="s">
        <v>139</v>
      </c>
      <c r="B42" t="s">
        <v>566</v>
      </c>
      <c r="C42" t="s">
        <v>138</v>
      </c>
      <c r="D42" t="s">
        <v>571</v>
      </c>
      <c r="E42" t="s">
        <v>572</v>
      </c>
      <c r="F42" t="s">
        <v>140</v>
      </c>
    </row>
    <row r="43" spans="1:6">
      <c r="A43" t="s">
        <v>142</v>
      </c>
      <c r="B43" t="s">
        <v>566</v>
      </c>
      <c r="C43" t="s">
        <v>141</v>
      </c>
      <c r="D43" t="s">
        <v>571</v>
      </c>
      <c r="E43" t="s">
        <v>572</v>
      </c>
      <c r="F43" t="s">
        <v>143</v>
      </c>
    </row>
    <row r="44" spans="1:6">
      <c r="A44" t="s">
        <v>573</v>
      </c>
      <c r="B44" t="s">
        <v>566</v>
      </c>
      <c r="C44" s="3" t="s">
        <v>574</v>
      </c>
      <c r="D44" t="s">
        <v>575</v>
      </c>
      <c r="E44" t="s">
        <v>572</v>
      </c>
      <c r="F44" t="s">
        <v>146</v>
      </c>
    </row>
    <row r="45" spans="1:6">
      <c r="A45" t="s">
        <v>576</v>
      </c>
      <c r="B45" t="s">
        <v>566</v>
      </c>
      <c r="C45" s="3" t="s">
        <v>574</v>
      </c>
      <c r="D45" t="s">
        <v>575</v>
      </c>
      <c r="E45" t="s">
        <v>572</v>
      </c>
      <c r="F45" t="s">
        <v>577</v>
      </c>
    </row>
    <row r="46" spans="1:6">
      <c r="A46" t="s">
        <v>151</v>
      </c>
      <c r="B46" t="s">
        <v>566</v>
      </c>
      <c r="C46" t="s">
        <v>150</v>
      </c>
      <c r="D46" t="s">
        <v>575</v>
      </c>
      <c r="E46" t="s">
        <v>572</v>
      </c>
      <c r="F46" t="s">
        <v>152</v>
      </c>
    </row>
    <row r="47" spans="1:6">
      <c r="A47" t="s">
        <v>154</v>
      </c>
      <c r="B47" t="s">
        <v>566</v>
      </c>
      <c r="C47" t="s">
        <v>153</v>
      </c>
      <c r="D47" t="s">
        <v>154</v>
      </c>
      <c r="E47" t="s">
        <v>578</v>
      </c>
      <c r="F47" t="s">
        <v>156</v>
      </c>
    </row>
    <row r="48" spans="1:6">
      <c r="A48" t="s">
        <v>162</v>
      </c>
      <c r="B48" t="s">
        <v>566</v>
      </c>
      <c r="C48" t="s">
        <v>161</v>
      </c>
      <c r="D48" t="s">
        <v>162</v>
      </c>
      <c r="E48" t="s">
        <v>578</v>
      </c>
      <c r="F48" t="s">
        <v>163</v>
      </c>
    </row>
    <row r="49" spans="1:6">
      <c r="A49" t="s">
        <v>158</v>
      </c>
      <c r="B49" t="s">
        <v>566</v>
      </c>
      <c r="C49" s="3" t="s">
        <v>579</v>
      </c>
      <c r="D49" t="s">
        <v>158</v>
      </c>
      <c r="E49" t="s">
        <v>578</v>
      </c>
      <c r="F49" t="s">
        <v>160</v>
      </c>
    </row>
    <row r="50" spans="1:6">
      <c r="A50" t="s">
        <v>166</v>
      </c>
      <c r="B50" t="s">
        <v>566</v>
      </c>
      <c r="C50" t="s">
        <v>165</v>
      </c>
      <c r="D50" t="s">
        <v>166</v>
      </c>
      <c r="E50" t="s">
        <v>166</v>
      </c>
      <c r="F50" t="s">
        <v>167</v>
      </c>
    </row>
    <row r="51" spans="1:6">
      <c r="A51" t="s">
        <v>169</v>
      </c>
      <c r="B51" t="s">
        <v>580</v>
      </c>
      <c r="C51" t="s">
        <v>168</v>
      </c>
      <c r="D51" t="s">
        <v>169</v>
      </c>
      <c r="E51" t="s">
        <v>169</v>
      </c>
      <c r="F51" t="s">
        <v>170</v>
      </c>
    </row>
    <row r="52" spans="1:6">
      <c r="A52" t="s">
        <v>172</v>
      </c>
      <c r="B52" t="s">
        <v>580</v>
      </c>
      <c r="C52" t="s">
        <v>171</v>
      </c>
      <c r="D52" t="s">
        <v>172</v>
      </c>
      <c r="E52" t="s">
        <v>172</v>
      </c>
      <c r="F52" t="s">
        <v>173</v>
      </c>
    </row>
    <row r="53" spans="1:6">
      <c r="A53" t="s">
        <v>175</v>
      </c>
      <c r="B53" t="s">
        <v>580</v>
      </c>
      <c r="C53" t="s">
        <v>174</v>
      </c>
      <c r="D53" t="s">
        <v>175</v>
      </c>
      <c r="E53" t="s">
        <v>175</v>
      </c>
      <c r="F53" t="s">
        <v>176</v>
      </c>
    </row>
    <row r="54" spans="1:6">
      <c r="A54" t="s">
        <v>178</v>
      </c>
      <c r="B54" t="s">
        <v>580</v>
      </c>
      <c r="C54" t="s">
        <v>177</v>
      </c>
      <c r="D54" t="s">
        <v>178</v>
      </c>
      <c r="E54" t="s">
        <v>178</v>
      </c>
      <c r="F54" t="s">
        <v>179</v>
      </c>
    </row>
    <row r="55" spans="1:6">
      <c r="A55" t="s">
        <v>181</v>
      </c>
      <c r="B55" t="s">
        <v>580</v>
      </c>
      <c r="C55" t="s">
        <v>180</v>
      </c>
      <c r="D55" t="s">
        <v>181</v>
      </c>
      <c r="E55" t="s">
        <v>181</v>
      </c>
      <c r="F55" t="s">
        <v>182</v>
      </c>
    </row>
    <row r="56" spans="1:6">
      <c r="A56" t="s">
        <v>184</v>
      </c>
      <c r="B56" t="s">
        <v>580</v>
      </c>
      <c r="C56" t="s">
        <v>183</v>
      </c>
      <c r="D56" t="s">
        <v>184</v>
      </c>
      <c r="E56" t="s">
        <v>184</v>
      </c>
      <c r="F56" t="s">
        <v>185</v>
      </c>
    </row>
    <row r="57" spans="1:6">
      <c r="A57" t="s">
        <v>187</v>
      </c>
      <c r="B57" t="s">
        <v>580</v>
      </c>
      <c r="C57" t="s">
        <v>186</v>
      </c>
      <c r="D57" t="s">
        <v>187</v>
      </c>
      <c r="E57" t="s">
        <v>187</v>
      </c>
      <c r="F57" t="s">
        <v>188</v>
      </c>
    </row>
    <row r="58" spans="1:6">
      <c r="A58" t="s">
        <v>190</v>
      </c>
      <c r="B58" t="s">
        <v>580</v>
      </c>
      <c r="C58" s="3" t="s">
        <v>581</v>
      </c>
      <c r="D58" t="s">
        <v>190</v>
      </c>
      <c r="E58" t="s">
        <v>190</v>
      </c>
      <c r="F58" t="s">
        <v>192</v>
      </c>
    </row>
    <row r="59" spans="1:6">
      <c r="A59" t="s">
        <v>196</v>
      </c>
      <c r="B59" t="s">
        <v>580</v>
      </c>
      <c r="C59" t="s">
        <v>195</v>
      </c>
      <c r="D59" t="s">
        <v>196</v>
      </c>
      <c r="E59" t="s">
        <v>196</v>
      </c>
      <c r="F59" t="s">
        <v>197</v>
      </c>
    </row>
    <row r="60" spans="1:6">
      <c r="A60" t="s">
        <v>199</v>
      </c>
      <c r="B60" t="s">
        <v>580</v>
      </c>
      <c r="C60" t="s">
        <v>198</v>
      </c>
      <c r="D60" t="s">
        <v>199</v>
      </c>
      <c r="E60" t="s">
        <v>199</v>
      </c>
      <c r="F60" t="s">
        <v>200</v>
      </c>
    </row>
    <row r="61" spans="1:6">
      <c r="A61" t="s">
        <v>202</v>
      </c>
      <c r="B61" t="s">
        <v>582</v>
      </c>
      <c r="C61" t="s">
        <v>201</v>
      </c>
      <c r="D61" t="s">
        <v>202</v>
      </c>
      <c r="E61" t="s">
        <v>202</v>
      </c>
      <c r="F61" t="s">
        <v>203</v>
      </c>
    </row>
    <row r="62" spans="1:6">
      <c r="A62" t="s">
        <v>205</v>
      </c>
      <c r="B62" t="s">
        <v>582</v>
      </c>
      <c r="C62" t="s">
        <v>204</v>
      </c>
      <c r="D62" t="s">
        <v>205</v>
      </c>
      <c r="E62" t="s">
        <v>205</v>
      </c>
      <c r="F62" t="s">
        <v>206</v>
      </c>
    </row>
    <row r="63" spans="1:6">
      <c r="A63" t="s">
        <v>208</v>
      </c>
      <c r="B63" t="s">
        <v>582</v>
      </c>
      <c r="C63" t="s">
        <v>207</v>
      </c>
      <c r="D63" t="s">
        <v>208</v>
      </c>
      <c r="E63" t="s">
        <v>208</v>
      </c>
      <c r="F63" t="s">
        <v>209</v>
      </c>
    </row>
    <row r="64" spans="1:6">
      <c r="A64" t="s">
        <v>211</v>
      </c>
      <c r="B64" t="s">
        <v>583</v>
      </c>
      <c r="C64" t="s">
        <v>210</v>
      </c>
      <c r="D64" t="s">
        <v>211</v>
      </c>
      <c r="E64" t="s">
        <v>211</v>
      </c>
      <c r="F64" t="s">
        <v>212</v>
      </c>
    </row>
    <row r="65" spans="1:6">
      <c r="A65" t="s">
        <v>214</v>
      </c>
      <c r="B65" t="s">
        <v>584</v>
      </c>
      <c r="C65" t="s">
        <v>213</v>
      </c>
      <c r="D65" t="s">
        <v>214</v>
      </c>
      <c r="E65" t="s">
        <v>214</v>
      </c>
      <c r="F65" t="s">
        <v>216</v>
      </c>
    </row>
    <row r="66" spans="1:6">
      <c r="A66" t="s">
        <v>218</v>
      </c>
      <c r="B66" t="s">
        <v>584</v>
      </c>
      <c r="C66" t="s">
        <v>217</v>
      </c>
      <c r="D66" t="s">
        <v>218</v>
      </c>
      <c r="E66" t="s">
        <v>218</v>
      </c>
      <c r="F66" t="s">
        <v>219</v>
      </c>
    </row>
    <row r="67" spans="1:6">
      <c r="A67" t="s">
        <v>221</v>
      </c>
      <c r="B67" t="s">
        <v>585</v>
      </c>
      <c r="C67" t="s">
        <v>220</v>
      </c>
      <c r="D67" t="s">
        <v>221</v>
      </c>
      <c r="E67" t="s">
        <v>221</v>
      </c>
      <c r="F67" t="s">
        <v>222</v>
      </c>
    </row>
    <row r="68" spans="1:6">
      <c r="A68" t="s">
        <v>224</v>
      </c>
      <c r="B68" t="s">
        <v>586</v>
      </c>
      <c r="C68" t="s">
        <v>223</v>
      </c>
      <c r="D68" t="s">
        <v>224</v>
      </c>
      <c r="E68" t="s">
        <v>224</v>
      </c>
      <c r="F68" t="s">
        <v>225</v>
      </c>
    </row>
    <row r="69" spans="1:6">
      <c r="A69" t="s">
        <v>227</v>
      </c>
      <c r="B69" t="s">
        <v>586</v>
      </c>
      <c r="C69" t="s">
        <v>226</v>
      </c>
      <c r="D69" t="s">
        <v>227</v>
      </c>
      <c r="E69" t="s">
        <v>227</v>
      </c>
      <c r="F69" t="s">
        <v>228</v>
      </c>
    </row>
    <row r="70" spans="1:6">
      <c r="A70" t="s">
        <v>230</v>
      </c>
      <c r="B70" t="s">
        <v>587</v>
      </c>
      <c r="C70" t="s">
        <v>229</v>
      </c>
      <c r="D70" t="s">
        <v>230</v>
      </c>
      <c r="E70" t="s">
        <v>230</v>
      </c>
      <c r="F70" t="s">
        <v>231</v>
      </c>
    </row>
    <row r="71" spans="1:6">
      <c r="A71" t="s">
        <v>233</v>
      </c>
      <c r="B71" t="s">
        <v>587</v>
      </c>
      <c r="C71" t="s">
        <v>232</v>
      </c>
      <c r="D71" t="s">
        <v>233</v>
      </c>
      <c r="E71" t="s">
        <v>233</v>
      </c>
      <c r="F71" t="s">
        <v>234</v>
      </c>
    </row>
    <row r="72" spans="1:6">
      <c r="A72" t="s">
        <v>236</v>
      </c>
      <c r="B72" t="s">
        <v>587</v>
      </c>
      <c r="C72" t="s">
        <v>235</v>
      </c>
      <c r="D72" t="s">
        <v>236</v>
      </c>
      <c r="E72" t="s">
        <v>236</v>
      </c>
      <c r="F72" t="s">
        <v>237</v>
      </c>
    </row>
    <row r="73" spans="1:6">
      <c r="A73" t="s">
        <v>239</v>
      </c>
      <c r="B73" t="s">
        <v>587</v>
      </c>
      <c r="C73" t="s">
        <v>238</v>
      </c>
      <c r="D73" t="s">
        <v>239</v>
      </c>
      <c r="E73" t="s">
        <v>239</v>
      </c>
      <c r="F73" t="s">
        <v>240</v>
      </c>
    </row>
    <row r="74" spans="1:6">
      <c r="A74" t="s">
        <v>242</v>
      </c>
      <c r="B74" t="s">
        <v>587</v>
      </c>
      <c r="C74" t="s">
        <v>241</v>
      </c>
      <c r="D74" t="s">
        <v>242</v>
      </c>
      <c r="E74" t="s">
        <v>242</v>
      </c>
      <c r="F74" t="s">
        <v>243</v>
      </c>
    </row>
    <row r="75" spans="1:6">
      <c r="A75" t="s">
        <v>245</v>
      </c>
      <c r="B75" t="s">
        <v>587</v>
      </c>
      <c r="C75" t="s">
        <v>244</v>
      </c>
      <c r="D75" t="s">
        <v>245</v>
      </c>
      <c r="E75" t="s">
        <v>245</v>
      </c>
      <c r="F75" t="s">
        <v>246</v>
      </c>
    </row>
    <row r="76" spans="1:6">
      <c r="A76" t="s">
        <v>248</v>
      </c>
      <c r="B76" t="s">
        <v>587</v>
      </c>
      <c r="C76" t="s">
        <v>247</v>
      </c>
      <c r="D76" t="s">
        <v>248</v>
      </c>
      <c r="E76" t="s">
        <v>248</v>
      </c>
      <c r="F76" t="s">
        <v>249</v>
      </c>
    </row>
    <row r="77" spans="1:6">
      <c r="A77" t="s">
        <v>251</v>
      </c>
      <c r="B77" t="s">
        <v>587</v>
      </c>
      <c r="C77" t="s">
        <v>250</v>
      </c>
      <c r="D77" t="s">
        <v>251</v>
      </c>
      <c r="E77" t="s">
        <v>251</v>
      </c>
      <c r="F77" t="s">
        <v>252</v>
      </c>
    </row>
    <row r="78" spans="1:6">
      <c r="A78" t="s">
        <v>254</v>
      </c>
      <c r="B78" t="s">
        <v>588</v>
      </c>
      <c r="C78" t="s">
        <v>253</v>
      </c>
      <c r="D78" t="s">
        <v>254</v>
      </c>
      <c r="E78" t="s">
        <v>254</v>
      </c>
      <c r="F78" t="s">
        <v>255</v>
      </c>
    </row>
    <row r="79" spans="1:6">
      <c r="A79" t="s">
        <v>257</v>
      </c>
      <c r="B79" t="s">
        <v>589</v>
      </c>
      <c r="C79" t="s">
        <v>256</v>
      </c>
      <c r="D79" t="s">
        <v>257</v>
      </c>
      <c r="E79" t="s">
        <v>257</v>
      </c>
      <c r="F79" t="s">
        <v>258</v>
      </c>
    </row>
    <row r="80" spans="1:6">
      <c r="A80" t="s">
        <v>260</v>
      </c>
      <c r="B80" t="s">
        <v>589</v>
      </c>
      <c r="C80" t="s">
        <v>259</v>
      </c>
      <c r="D80" t="s">
        <v>260</v>
      </c>
      <c r="E80" t="s">
        <v>260</v>
      </c>
      <c r="F80" t="s">
        <v>261</v>
      </c>
    </row>
    <row r="81" spans="1:6">
      <c r="A81" t="s">
        <v>263</v>
      </c>
      <c r="B81" t="s">
        <v>590</v>
      </c>
      <c r="C81" t="s">
        <v>262</v>
      </c>
      <c r="D81" t="s">
        <v>263</v>
      </c>
      <c r="E81" t="s">
        <v>263</v>
      </c>
      <c r="F81" t="s">
        <v>264</v>
      </c>
    </row>
    <row r="82" spans="1:6">
      <c r="A82" t="s">
        <v>266</v>
      </c>
      <c r="B82" t="s">
        <v>590</v>
      </c>
      <c r="C82" t="s">
        <v>265</v>
      </c>
      <c r="D82" t="s">
        <v>266</v>
      </c>
      <c r="E82" t="s">
        <v>266</v>
      </c>
      <c r="F82" t="s">
        <v>267</v>
      </c>
    </row>
    <row r="83" spans="1:6">
      <c r="A83" t="s">
        <v>269</v>
      </c>
      <c r="B83" t="s">
        <v>590</v>
      </c>
      <c r="C83" t="s">
        <v>268</v>
      </c>
      <c r="D83" t="s">
        <v>269</v>
      </c>
      <c r="E83" t="s">
        <v>269</v>
      </c>
      <c r="F83" t="s">
        <v>270</v>
      </c>
    </row>
    <row r="84" spans="1:6">
      <c r="A84" t="s">
        <v>272</v>
      </c>
      <c r="B84" t="s">
        <v>590</v>
      </c>
      <c r="C84" t="s">
        <v>271</v>
      </c>
      <c r="D84" t="s">
        <v>272</v>
      </c>
      <c r="E84" t="s">
        <v>272</v>
      </c>
      <c r="F84" t="s">
        <v>273</v>
      </c>
    </row>
    <row r="85" spans="1:6">
      <c r="A85" t="s">
        <v>275</v>
      </c>
      <c r="B85" t="s">
        <v>590</v>
      </c>
      <c r="C85" t="s">
        <v>274</v>
      </c>
      <c r="D85" t="s">
        <v>275</v>
      </c>
      <c r="E85" t="s">
        <v>275</v>
      </c>
      <c r="F85" t="s">
        <v>277</v>
      </c>
    </row>
    <row r="86" spans="1:6">
      <c r="A86" t="s">
        <v>279</v>
      </c>
      <c r="B86" t="s">
        <v>590</v>
      </c>
      <c r="C86" t="s">
        <v>278</v>
      </c>
      <c r="D86" t="s">
        <v>279</v>
      </c>
      <c r="E86" t="s">
        <v>279</v>
      </c>
      <c r="F86" t="s">
        <v>280</v>
      </c>
    </row>
    <row r="87" spans="1:6">
      <c r="A87" t="s">
        <v>282</v>
      </c>
      <c r="B87" t="s">
        <v>590</v>
      </c>
      <c r="C87" t="s">
        <v>281</v>
      </c>
      <c r="D87" t="s">
        <v>282</v>
      </c>
      <c r="E87" t="s">
        <v>282</v>
      </c>
      <c r="F87" t="s">
        <v>283</v>
      </c>
    </row>
    <row r="88" spans="1:6">
      <c r="A88" t="s">
        <v>285</v>
      </c>
      <c r="B88" t="s">
        <v>590</v>
      </c>
      <c r="C88" t="s">
        <v>284</v>
      </c>
      <c r="D88" t="s">
        <v>285</v>
      </c>
      <c r="E88" t="s">
        <v>285</v>
      </c>
      <c r="F88" t="s">
        <v>286</v>
      </c>
    </row>
    <row r="89" spans="1:6">
      <c r="A89" t="s">
        <v>288</v>
      </c>
      <c r="B89" t="s">
        <v>591</v>
      </c>
      <c r="C89" t="s">
        <v>287</v>
      </c>
      <c r="D89" t="s">
        <v>288</v>
      </c>
      <c r="E89" t="s">
        <v>288</v>
      </c>
      <c r="F89" t="s">
        <v>289</v>
      </c>
    </row>
    <row r="90" spans="1:6">
      <c r="A90" t="s">
        <v>291</v>
      </c>
      <c r="B90" t="s">
        <v>591</v>
      </c>
      <c r="C90" t="s">
        <v>290</v>
      </c>
      <c r="D90" t="s">
        <v>592</v>
      </c>
      <c r="E90" t="s">
        <v>593</v>
      </c>
      <c r="F90" t="s">
        <v>292</v>
      </c>
    </row>
    <row r="91" spans="1:6">
      <c r="A91" t="s">
        <v>294</v>
      </c>
      <c r="B91" t="s">
        <v>591</v>
      </c>
      <c r="C91" t="s">
        <v>293</v>
      </c>
      <c r="D91" t="s">
        <v>592</v>
      </c>
      <c r="E91" t="s">
        <v>593</v>
      </c>
      <c r="F91" t="s">
        <v>295</v>
      </c>
    </row>
    <row r="92" spans="1:6">
      <c r="A92" t="s">
        <v>297</v>
      </c>
      <c r="B92" t="s">
        <v>591</v>
      </c>
      <c r="C92" t="s">
        <v>296</v>
      </c>
      <c r="D92" t="s">
        <v>592</v>
      </c>
      <c r="E92" t="s">
        <v>593</v>
      </c>
      <c r="F92" t="s">
        <v>298</v>
      </c>
    </row>
    <row r="93" spans="1:6">
      <c r="A93" t="s">
        <v>300</v>
      </c>
      <c r="B93" t="s">
        <v>591</v>
      </c>
      <c r="C93" t="s">
        <v>299</v>
      </c>
      <c r="D93" t="s">
        <v>300</v>
      </c>
      <c r="E93" t="s">
        <v>593</v>
      </c>
      <c r="F93" t="s">
        <v>301</v>
      </c>
    </row>
    <row r="94" spans="1:6">
      <c r="A94" t="s">
        <v>303</v>
      </c>
      <c r="B94" t="s">
        <v>591</v>
      </c>
      <c r="C94" t="s">
        <v>302</v>
      </c>
      <c r="D94" t="s">
        <v>594</v>
      </c>
      <c r="E94" t="s">
        <v>593</v>
      </c>
      <c r="F94" t="s">
        <v>304</v>
      </c>
    </row>
    <row r="95" spans="1:6">
      <c r="A95" t="s">
        <v>306</v>
      </c>
      <c r="B95" t="s">
        <v>591</v>
      </c>
      <c r="C95" t="s">
        <v>305</v>
      </c>
      <c r="D95" t="s">
        <v>594</v>
      </c>
      <c r="E95" t="s">
        <v>593</v>
      </c>
      <c r="F95" t="s">
        <v>307</v>
      </c>
    </row>
    <row r="96" spans="1:6">
      <c r="A96" t="s">
        <v>309</v>
      </c>
      <c r="B96" t="s">
        <v>591</v>
      </c>
      <c r="C96" t="s">
        <v>308</v>
      </c>
      <c r="D96" t="s">
        <v>594</v>
      </c>
      <c r="E96" t="s">
        <v>593</v>
      </c>
      <c r="F96" t="s">
        <v>310</v>
      </c>
    </row>
    <row r="97" spans="1:6">
      <c r="A97" t="s">
        <v>312</v>
      </c>
      <c r="B97" t="s">
        <v>591</v>
      </c>
      <c r="C97" t="s">
        <v>311</v>
      </c>
      <c r="D97" t="s">
        <v>312</v>
      </c>
      <c r="E97" t="s">
        <v>593</v>
      </c>
      <c r="F97" t="s">
        <v>313</v>
      </c>
    </row>
    <row r="98" spans="1:6">
      <c r="A98" t="s">
        <v>315</v>
      </c>
      <c r="B98" t="s">
        <v>591</v>
      </c>
      <c r="C98" t="s">
        <v>314</v>
      </c>
      <c r="D98" t="s">
        <v>595</v>
      </c>
      <c r="E98" t="s">
        <v>593</v>
      </c>
      <c r="F98" t="s">
        <v>316</v>
      </c>
    </row>
    <row r="99" spans="1:6">
      <c r="A99" t="s">
        <v>318</v>
      </c>
      <c r="B99" t="s">
        <v>591</v>
      </c>
      <c r="C99" s="3" t="s">
        <v>596</v>
      </c>
      <c r="D99" t="s">
        <v>595</v>
      </c>
      <c r="E99" t="s">
        <v>593</v>
      </c>
      <c r="F99" t="s">
        <v>320</v>
      </c>
    </row>
    <row r="100" spans="1:6">
      <c r="A100" t="s">
        <v>333</v>
      </c>
      <c r="B100" t="s">
        <v>591</v>
      </c>
      <c r="C100" t="s">
        <v>332</v>
      </c>
      <c r="D100" t="s">
        <v>333</v>
      </c>
      <c r="E100" t="s">
        <v>333</v>
      </c>
      <c r="F100" t="s">
        <v>334</v>
      </c>
    </row>
    <row r="101" spans="1:6">
      <c r="A101" t="s">
        <v>336</v>
      </c>
      <c r="B101" t="s">
        <v>591</v>
      </c>
      <c r="C101" s="3" t="s">
        <v>597</v>
      </c>
      <c r="D101" t="s">
        <v>336</v>
      </c>
      <c r="E101" t="s">
        <v>336</v>
      </c>
      <c r="F101" t="s">
        <v>338</v>
      </c>
    </row>
    <row r="102" spans="1:6">
      <c r="A102" t="s">
        <v>342</v>
      </c>
      <c r="B102" t="s">
        <v>591</v>
      </c>
      <c r="C102" s="3" t="s">
        <v>598</v>
      </c>
      <c r="D102" t="s">
        <v>342</v>
      </c>
      <c r="E102" t="s">
        <v>342</v>
      </c>
      <c r="F102" t="s">
        <v>344</v>
      </c>
    </row>
    <row r="103" spans="1:6">
      <c r="A103" t="s">
        <v>347</v>
      </c>
      <c r="B103" t="s">
        <v>599</v>
      </c>
      <c r="C103" t="s">
        <v>346</v>
      </c>
      <c r="D103" t="s">
        <v>347</v>
      </c>
      <c r="E103" t="s">
        <v>347</v>
      </c>
      <c r="F103" t="s">
        <v>348</v>
      </c>
    </row>
    <row r="104" spans="1:6">
      <c r="A104" t="s">
        <v>350</v>
      </c>
      <c r="B104" t="s">
        <v>599</v>
      </c>
      <c r="C104" t="s">
        <v>349</v>
      </c>
      <c r="D104" t="s">
        <v>350</v>
      </c>
      <c r="E104" t="s">
        <v>350</v>
      </c>
      <c r="F104" t="s">
        <v>351</v>
      </c>
    </row>
    <row r="105" spans="1:6">
      <c r="A105" t="s">
        <v>353</v>
      </c>
      <c r="B105" t="s">
        <v>599</v>
      </c>
      <c r="C105" t="s">
        <v>352</v>
      </c>
      <c r="D105" t="s">
        <v>353</v>
      </c>
      <c r="E105" t="s">
        <v>353</v>
      </c>
      <c r="F105" t="s">
        <v>354</v>
      </c>
    </row>
    <row r="106" spans="1:6">
      <c r="A106" t="s">
        <v>356</v>
      </c>
      <c r="B106" t="s">
        <v>599</v>
      </c>
      <c r="C106" t="s">
        <v>355</v>
      </c>
      <c r="D106" t="s">
        <v>356</v>
      </c>
      <c r="E106" t="s">
        <v>356</v>
      </c>
      <c r="F106" t="s">
        <v>357</v>
      </c>
    </row>
    <row r="107" spans="1:6">
      <c r="A107" t="s">
        <v>359</v>
      </c>
      <c r="B107" t="s">
        <v>599</v>
      </c>
      <c r="C107" t="s">
        <v>358</v>
      </c>
      <c r="D107" t="s">
        <v>359</v>
      </c>
      <c r="E107" t="s">
        <v>359</v>
      </c>
      <c r="F107" t="s">
        <v>360</v>
      </c>
    </row>
    <row r="108" spans="1:6">
      <c r="A108" t="s">
        <v>362</v>
      </c>
      <c r="B108" t="s">
        <v>599</v>
      </c>
      <c r="C108" t="s">
        <v>361</v>
      </c>
      <c r="D108" t="s">
        <v>362</v>
      </c>
      <c r="E108" t="s">
        <v>362</v>
      </c>
      <c r="F108" t="s">
        <v>364</v>
      </c>
    </row>
    <row r="109" spans="1:6">
      <c r="A109" t="s">
        <v>366</v>
      </c>
      <c r="B109" t="s">
        <v>599</v>
      </c>
      <c r="C109" t="s">
        <v>365</v>
      </c>
      <c r="D109" t="s">
        <v>366</v>
      </c>
      <c r="E109" t="s">
        <v>366</v>
      </c>
      <c r="F109" t="s">
        <v>367</v>
      </c>
    </row>
    <row r="110" spans="1:6">
      <c r="A110" t="s">
        <v>369</v>
      </c>
      <c r="B110" t="s">
        <v>600</v>
      </c>
      <c r="C110" t="s">
        <v>368</v>
      </c>
      <c r="D110" t="s">
        <v>369</v>
      </c>
      <c r="E110" t="s">
        <v>369</v>
      </c>
      <c r="F110" t="s">
        <v>370</v>
      </c>
    </row>
    <row r="111" spans="1:6">
      <c r="A111" t="s">
        <v>372</v>
      </c>
      <c r="B111" t="s">
        <v>601</v>
      </c>
      <c r="C111" t="s">
        <v>371</v>
      </c>
      <c r="D111" t="s">
        <v>372</v>
      </c>
      <c r="E111" t="s">
        <v>372</v>
      </c>
      <c r="F111" t="s">
        <v>373</v>
      </c>
    </row>
    <row r="112" spans="1:6">
      <c r="A112" t="s">
        <v>375</v>
      </c>
      <c r="B112" t="s">
        <v>602</v>
      </c>
      <c r="C112" t="s">
        <v>374</v>
      </c>
      <c r="D112" t="s">
        <v>375</v>
      </c>
      <c r="E112" t="s">
        <v>375</v>
      </c>
      <c r="F112" t="s">
        <v>376</v>
      </c>
    </row>
    <row r="113" spans="1:6">
      <c r="A113" t="s">
        <v>378</v>
      </c>
      <c r="B113" t="s">
        <v>603</v>
      </c>
      <c r="C113" t="s">
        <v>377</v>
      </c>
      <c r="D113" t="s">
        <v>378</v>
      </c>
      <c r="E113" t="s">
        <v>378</v>
      </c>
      <c r="F113" t="s">
        <v>379</v>
      </c>
    </row>
    <row r="114" spans="1:6">
      <c r="A114" t="s">
        <v>381</v>
      </c>
      <c r="B114" t="s">
        <v>604</v>
      </c>
      <c r="C114" t="s">
        <v>380</v>
      </c>
      <c r="D114" t="s">
        <v>381</v>
      </c>
      <c r="E114" t="s">
        <v>381</v>
      </c>
      <c r="F114" t="s">
        <v>382</v>
      </c>
    </row>
    <row r="115" spans="1:6">
      <c r="A115" t="s">
        <v>384</v>
      </c>
      <c r="B115" t="s">
        <v>604</v>
      </c>
      <c r="C115" t="s">
        <v>383</v>
      </c>
      <c r="D115" t="s">
        <v>384</v>
      </c>
      <c r="E115" t="s">
        <v>384</v>
      </c>
      <c r="F115" t="s">
        <v>385</v>
      </c>
    </row>
    <row r="116" spans="1:6">
      <c r="A116" t="s">
        <v>387</v>
      </c>
      <c r="B116" t="s">
        <v>604</v>
      </c>
      <c r="C116" t="s">
        <v>386</v>
      </c>
      <c r="D116" t="s">
        <v>387</v>
      </c>
      <c r="E116" t="s">
        <v>387</v>
      </c>
      <c r="F116" t="s">
        <v>388</v>
      </c>
    </row>
    <row r="117" spans="1:6">
      <c r="A117" t="s">
        <v>390</v>
      </c>
      <c r="B117" t="s">
        <v>604</v>
      </c>
      <c r="C117" t="s">
        <v>389</v>
      </c>
      <c r="D117" t="s">
        <v>390</v>
      </c>
      <c r="E117" t="s">
        <v>390</v>
      </c>
      <c r="F117" t="s">
        <v>391</v>
      </c>
    </row>
    <row r="118" spans="1:6">
      <c r="A118" t="s">
        <v>393</v>
      </c>
      <c r="B118" t="s">
        <v>605</v>
      </c>
      <c r="C118" t="s">
        <v>392</v>
      </c>
      <c r="D118" t="s">
        <v>393</v>
      </c>
      <c r="E118" t="s">
        <v>393</v>
      </c>
      <c r="F118" t="s">
        <v>394</v>
      </c>
    </row>
    <row r="119" spans="1:6">
      <c r="A119" t="s">
        <v>396</v>
      </c>
      <c r="B119" t="s">
        <v>605</v>
      </c>
      <c r="C119" t="s">
        <v>395</v>
      </c>
      <c r="D119" t="s">
        <v>396</v>
      </c>
      <c r="E119" t="s">
        <v>396</v>
      </c>
      <c r="F119" t="s">
        <v>397</v>
      </c>
    </row>
    <row r="120" spans="1:6">
      <c r="A120" t="s">
        <v>399</v>
      </c>
      <c r="B120" t="s">
        <v>605</v>
      </c>
      <c r="C120" t="s">
        <v>398</v>
      </c>
      <c r="D120" t="s">
        <v>399</v>
      </c>
      <c r="E120" t="s">
        <v>399</v>
      </c>
      <c r="F120" t="s">
        <v>400</v>
      </c>
    </row>
    <row r="121" spans="1:6">
      <c r="A121" t="s">
        <v>402</v>
      </c>
      <c r="B121" t="s">
        <v>605</v>
      </c>
      <c r="C121" t="s">
        <v>401</v>
      </c>
      <c r="D121" t="s">
        <v>402</v>
      </c>
      <c r="E121" t="s">
        <v>402</v>
      </c>
      <c r="F121" t="s">
        <v>403</v>
      </c>
    </row>
    <row r="122" spans="1:6">
      <c r="A122" t="s">
        <v>405</v>
      </c>
      <c r="B122" t="s">
        <v>605</v>
      </c>
      <c r="C122" t="s">
        <v>404</v>
      </c>
      <c r="D122" t="s">
        <v>405</v>
      </c>
      <c r="E122" t="s">
        <v>405</v>
      </c>
      <c r="F122" t="s">
        <v>406</v>
      </c>
    </row>
    <row r="123" spans="1:6">
      <c r="A123" t="s">
        <v>408</v>
      </c>
      <c r="B123" t="s">
        <v>605</v>
      </c>
      <c r="C123" t="s">
        <v>407</v>
      </c>
      <c r="D123" t="s">
        <v>408</v>
      </c>
      <c r="E123" t="s">
        <v>408</v>
      </c>
      <c r="F123" t="s">
        <v>409</v>
      </c>
    </row>
    <row r="124" spans="1:6">
      <c r="A124" t="s">
        <v>411</v>
      </c>
      <c r="B124" t="s">
        <v>605</v>
      </c>
      <c r="C124" t="s">
        <v>410</v>
      </c>
      <c r="D124" t="s">
        <v>411</v>
      </c>
      <c r="E124" t="s">
        <v>411</v>
      </c>
      <c r="F124" t="s">
        <v>412</v>
      </c>
    </row>
    <row r="125" spans="1:6">
      <c r="A125" t="s">
        <v>414</v>
      </c>
      <c r="B125" t="s">
        <v>606</v>
      </c>
      <c r="C125" t="s">
        <v>413</v>
      </c>
      <c r="D125" t="s">
        <v>414</v>
      </c>
      <c r="E125" t="s">
        <v>414</v>
      </c>
      <c r="F125" t="s">
        <v>415</v>
      </c>
    </row>
    <row r="126" spans="1:6">
      <c r="A126" t="s">
        <v>417</v>
      </c>
      <c r="B126" t="s">
        <v>607</v>
      </c>
      <c r="C126" t="s">
        <v>416</v>
      </c>
      <c r="D126" t="s">
        <v>417</v>
      </c>
      <c r="E126" t="s">
        <v>417</v>
      </c>
      <c r="F126" t="s">
        <v>418</v>
      </c>
    </row>
    <row r="127" spans="1:6">
      <c r="A127" t="s">
        <v>420</v>
      </c>
      <c r="B127" t="s">
        <v>607</v>
      </c>
      <c r="C127" t="s">
        <v>419</v>
      </c>
      <c r="D127" t="s">
        <v>420</v>
      </c>
      <c r="E127" t="s">
        <v>420</v>
      </c>
      <c r="F127" t="s">
        <v>421</v>
      </c>
    </row>
    <row r="128" spans="1:6">
      <c r="A128" t="s">
        <v>423</v>
      </c>
      <c r="B128" t="s">
        <v>607</v>
      </c>
      <c r="C128" t="s">
        <v>422</v>
      </c>
      <c r="D128" t="s">
        <v>423</v>
      </c>
      <c r="E128" t="s">
        <v>423</v>
      </c>
      <c r="F128" t="s">
        <v>424</v>
      </c>
    </row>
    <row r="129" spans="1:6">
      <c r="A129" t="s">
        <v>426</v>
      </c>
      <c r="B129" t="s">
        <v>608</v>
      </c>
      <c r="C129" t="s">
        <v>425</v>
      </c>
      <c r="D129" t="s">
        <v>426</v>
      </c>
      <c r="E129" t="s">
        <v>426</v>
      </c>
      <c r="F129" t="s">
        <v>427</v>
      </c>
    </row>
    <row r="130" spans="1:6">
      <c r="A130" t="s">
        <v>429</v>
      </c>
      <c r="B130" t="s">
        <v>609</v>
      </c>
      <c r="C130" t="s">
        <v>428</v>
      </c>
      <c r="D130" t="s">
        <v>429</v>
      </c>
      <c r="E130" t="s">
        <v>429</v>
      </c>
      <c r="F130" t="s">
        <v>430</v>
      </c>
    </row>
    <row r="131" spans="1:6">
      <c r="A131" t="s">
        <v>432</v>
      </c>
      <c r="B131" t="s">
        <v>610</v>
      </c>
      <c r="C131" t="s">
        <v>431</v>
      </c>
      <c r="D131" t="s">
        <v>432</v>
      </c>
      <c r="E131" t="s">
        <v>432</v>
      </c>
      <c r="F131" t="s">
        <v>433</v>
      </c>
    </row>
    <row r="132" spans="1:6">
      <c r="A132" t="s">
        <v>435</v>
      </c>
      <c r="B132" t="s">
        <v>611</v>
      </c>
      <c r="C132" t="s">
        <v>434</v>
      </c>
      <c r="D132" t="s">
        <v>435</v>
      </c>
      <c r="E132" t="s">
        <v>435</v>
      </c>
      <c r="F132" t="s">
        <v>436</v>
      </c>
    </row>
    <row r="133" spans="1:6">
      <c r="A133" t="s">
        <v>438</v>
      </c>
      <c r="B133" t="s">
        <v>612</v>
      </c>
      <c r="C133" t="s">
        <v>437</v>
      </c>
      <c r="D133" t="s">
        <v>438</v>
      </c>
      <c r="E133" t="s">
        <v>438</v>
      </c>
      <c r="F133" t="s">
        <v>439</v>
      </c>
    </row>
    <row r="134" spans="1:6">
      <c r="A134" t="s">
        <v>441</v>
      </c>
      <c r="B134" t="s">
        <v>613</v>
      </c>
      <c r="C134" t="s">
        <v>440</v>
      </c>
      <c r="D134" t="s">
        <v>441</v>
      </c>
      <c r="E134" t="s">
        <v>441</v>
      </c>
      <c r="F134" t="s">
        <v>442</v>
      </c>
    </row>
    <row r="135" spans="1:6">
      <c r="A135" t="s">
        <v>444</v>
      </c>
      <c r="B135" t="s">
        <v>614</v>
      </c>
      <c r="C135" t="s">
        <v>443</v>
      </c>
      <c r="D135" t="s">
        <v>444</v>
      </c>
      <c r="E135" t="s">
        <v>444</v>
      </c>
      <c r="F135" t="s">
        <v>445</v>
      </c>
    </row>
    <row r="136" spans="1:6">
      <c r="A136" t="s">
        <v>447</v>
      </c>
      <c r="B136" t="s">
        <v>615</v>
      </c>
      <c r="C136" t="s">
        <v>446</v>
      </c>
      <c r="D136" t="s">
        <v>447</v>
      </c>
      <c r="E136" t="s">
        <v>447</v>
      </c>
      <c r="F136" t="s">
        <v>448</v>
      </c>
    </row>
    <row r="137" spans="1:6">
      <c r="A137" t="s">
        <v>450</v>
      </c>
      <c r="B137" t="s">
        <v>616</v>
      </c>
      <c r="C137" t="s">
        <v>449</v>
      </c>
      <c r="D137" t="s">
        <v>450</v>
      </c>
      <c r="E137" t="s">
        <v>450</v>
      </c>
      <c r="F137" t="s">
        <v>451</v>
      </c>
    </row>
    <row r="138" spans="1:6">
      <c r="A138" t="s">
        <v>453</v>
      </c>
      <c r="B138" t="s">
        <v>617</v>
      </c>
      <c r="C138" t="s">
        <v>452</v>
      </c>
      <c r="D138" t="s">
        <v>453</v>
      </c>
      <c r="E138" t="s">
        <v>453</v>
      </c>
      <c r="F138" t="s">
        <v>454</v>
      </c>
    </row>
    <row r="139" spans="1:6">
      <c r="A139" t="s">
        <v>456</v>
      </c>
      <c r="B139" t="s">
        <v>618</v>
      </c>
      <c r="C139" t="s">
        <v>455</v>
      </c>
      <c r="D139" t="s">
        <v>456</v>
      </c>
      <c r="E139" t="s">
        <v>456</v>
      </c>
      <c r="F139" t="s">
        <v>457</v>
      </c>
    </row>
    <row r="140" spans="1:6">
      <c r="A140" t="s">
        <v>459</v>
      </c>
      <c r="B140" t="s">
        <v>619</v>
      </c>
      <c r="C140" t="s">
        <v>458</v>
      </c>
      <c r="D140" t="s">
        <v>459</v>
      </c>
      <c r="E140" t="s">
        <v>459</v>
      </c>
      <c r="F140" t="s">
        <v>460</v>
      </c>
    </row>
    <row r="141" spans="1:6">
      <c r="A141" t="s">
        <v>462</v>
      </c>
      <c r="B141" t="s">
        <v>620</v>
      </c>
      <c r="C141" t="s">
        <v>461</v>
      </c>
      <c r="D141" t="s">
        <v>462</v>
      </c>
      <c r="E141" t="s">
        <v>462</v>
      </c>
      <c r="F141" t="s">
        <v>463</v>
      </c>
    </row>
    <row r="142" spans="1:6">
      <c r="A142" t="s">
        <v>465</v>
      </c>
      <c r="B142" t="s">
        <v>621</v>
      </c>
      <c r="C142" t="s">
        <v>464</v>
      </c>
      <c r="D142" t="s">
        <v>465</v>
      </c>
      <c r="E142" t="s">
        <v>465</v>
      </c>
      <c r="F142" t="s">
        <v>466</v>
      </c>
    </row>
    <row r="143" spans="1:6">
      <c r="A143" t="s">
        <v>468</v>
      </c>
      <c r="B143" t="s">
        <v>622</v>
      </c>
      <c r="C143" t="s">
        <v>467</v>
      </c>
      <c r="D143" t="s">
        <v>468</v>
      </c>
      <c r="E143" t="s">
        <v>468</v>
      </c>
      <c r="F143" t="s">
        <v>469</v>
      </c>
    </row>
    <row r="144" spans="1:6">
      <c r="A144" t="s">
        <v>471</v>
      </c>
      <c r="B144" t="s">
        <v>623</v>
      </c>
      <c r="C144" t="s">
        <v>470</v>
      </c>
      <c r="D144" t="s">
        <v>471</v>
      </c>
      <c r="E144" t="s">
        <v>471</v>
      </c>
      <c r="F144" t="s">
        <v>472</v>
      </c>
    </row>
    <row r="145" spans="1:6">
      <c r="A145" t="s">
        <v>474</v>
      </c>
      <c r="B145" t="s">
        <v>624</v>
      </c>
      <c r="C145" t="s">
        <v>473</v>
      </c>
      <c r="D145" t="s">
        <v>474</v>
      </c>
      <c r="E145" t="s">
        <v>474</v>
      </c>
      <c r="F145" t="s">
        <v>475</v>
      </c>
    </row>
    <row r="146" spans="1:6">
      <c r="A146" t="s">
        <v>477</v>
      </c>
      <c r="B146" t="s">
        <v>625</v>
      </c>
      <c r="C146" t="s">
        <v>476</v>
      </c>
      <c r="D146" t="s">
        <v>477</v>
      </c>
      <c r="E146" t="s">
        <v>477</v>
      </c>
      <c r="F146" t="s">
        <v>478</v>
      </c>
    </row>
    <row r="147" spans="1:6">
      <c r="A147" t="s">
        <v>480</v>
      </c>
      <c r="B147" t="s">
        <v>626</v>
      </c>
      <c r="C147" t="s">
        <v>479</v>
      </c>
      <c r="D147" t="s">
        <v>480</v>
      </c>
      <c r="E147" t="s">
        <v>480</v>
      </c>
      <c r="F147" t="s">
        <v>481</v>
      </c>
    </row>
    <row r="148" spans="1:6">
      <c r="A148" t="s">
        <v>483</v>
      </c>
      <c r="B148" t="s">
        <v>627</v>
      </c>
      <c r="C148" t="s">
        <v>482</v>
      </c>
      <c r="D148" t="s">
        <v>483</v>
      </c>
      <c r="E148" t="s">
        <v>483</v>
      </c>
      <c r="F148" t="s">
        <v>484</v>
      </c>
    </row>
    <row r="149" spans="1:6">
      <c r="A149" t="s">
        <v>486</v>
      </c>
      <c r="B149" t="s">
        <v>628</v>
      </c>
      <c r="C149" t="s">
        <v>485</v>
      </c>
      <c r="D149" t="s">
        <v>486</v>
      </c>
      <c r="E149" t="s">
        <v>486</v>
      </c>
      <c r="F149" t="s">
        <v>487</v>
      </c>
    </row>
    <row r="150" spans="1:6">
      <c r="A150" t="s">
        <v>489</v>
      </c>
      <c r="B150" t="s">
        <v>629</v>
      </c>
      <c r="C150" t="s">
        <v>488</v>
      </c>
      <c r="D150" t="s">
        <v>489</v>
      </c>
      <c r="E150" t="s">
        <v>489</v>
      </c>
      <c r="F150" t="s">
        <v>490</v>
      </c>
    </row>
    <row r="151" spans="1:6">
      <c r="A151" t="s">
        <v>492</v>
      </c>
      <c r="B151" t="s">
        <v>630</v>
      </c>
      <c r="C151" t="s">
        <v>491</v>
      </c>
      <c r="D151" t="s">
        <v>492</v>
      </c>
      <c r="E151" t="s">
        <v>492</v>
      </c>
      <c r="F151" t="s">
        <v>493</v>
      </c>
    </row>
    <row r="152" spans="1:6">
      <c r="A152" t="s">
        <v>495</v>
      </c>
      <c r="B152" t="s">
        <v>631</v>
      </c>
      <c r="C152" t="s">
        <v>494</v>
      </c>
      <c r="D152" t="s">
        <v>495</v>
      </c>
      <c r="E152" t="s">
        <v>495</v>
      </c>
      <c r="F152" t="s">
        <v>496</v>
      </c>
    </row>
    <row r="153" spans="1:6">
      <c r="A153" t="s">
        <v>498</v>
      </c>
      <c r="B153" t="s">
        <v>632</v>
      </c>
      <c r="C153" t="s">
        <v>497</v>
      </c>
      <c r="D153" t="s">
        <v>498</v>
      </c>
      <c r="E153" t="s">
        <v>498</v>
      </c>
      <c r="F153" t="s">
        <v>499</v>
      </c>
    </row>
    <row r="154" spans="1:6">
      <c r="A154" t="s">
        <v>501</v>
      </c>
      <c r="B154" t="s">
        <v>633</v>
      </c>
      <c r="C154" t="s">
        <v>500</v>
      </c>
      <c r="D154" t="s">
        <v>501</v>
      </c>
      <c r="E154" t="s">
        <v>501</v>
      </c>
      <c r="F154" t="s">
        <v>502</v>
      </c>
    </row>
    <row r="155" spans="1:6">
      <c r="A155" t="s">
        <v>504</v>
      </c>
      <c r="B155" t="s">
        <v>634</v>
      </c>
      <c r="C155" t="s">
        <v>503</v>
      </c>
      <c r="D155" t="s">
        <v>504</v>
      </c>
      <c r="E155" t="s">
        <v>504</v>
      </c>
      <c r="F155" t="s">
        <v>505</v>
      </c>
    </row>
    <row r="156" spans="1:6">
      <c r="A156" t="s">
        <v>507</v>
      </c>
      <c r="B156" t="s">
        <v>635</v>
      </c>
      <c r="C156" t="s">
        <v>506</v>
      </c>
      <c r="D156" t="s">
        <v>507</v>
      </c>
      <c r="E156" t="s">
        <v>507</v>
      </c>
      <c r="F156" t="s">
        <v>508</v>
      </c>
    </row>
    <row r="157" spans="1:6">
      <c r="A157" t="s">
        <v>510</v>
      </c>
      <c r="B157" t="s">
        <v>636</v>
      </c>
      <c r="C157" t="s">
        <v>509</v>
      </c>
      <c r="D157" t="s">
        <v>510</v>
      </c>
      <c r="E157" t="s">
        <v>510</v>
      </c>
      <c r="F157" t="s">
        <v>511</v>
      </c>
    </row>
    <row r="158" spans="1:6">
      <c r="A158" t="s">
        <v>513</v>
      </c>
      <c r="B158" t="s">
        <v>637</v>
      </c>
      <c r="C158" t="s">
        <v>512</v>
      </c>
      <c r="D158" t="s">
        <v>513</v>
      </c>
      <c r="E158" t="s">
        <v>513</v>
      </c>
      <c r="F158" t="s">
        <v>515</v>
      </c>
    </row>
    <row r="159" spans="1:6">
      <c r="A159" t="s">
        <v>517</v>
      </c>
      <c r="B159" t="s">
        <v>638</v>
      </c>
      <c r="C159" t="s">
        <v>516</v>
      </c>
      <c r="D159" t="s">
        <v>517</v>
      </c>
      <c r="E159" t="s">
        <v>517</v>
      </c>
      <c r="F159" t="s">
        <v>518</v>
      </c>
    </row>
    <row r="160" spans="1:6">
      <c r="A160" t="s">
        <v>520</v>
      </c>
      <c r="B160" t="s">
        <v>639</v>
      </c>
      <c r="C160" t="s">
        <v>519</v>
      </c>
      <c r="D160" t="s">
        <v>520</v>
      </c>
      <c r="E160" t="s">
        <v>520</v>
      </c>
      <c r="F160" t="s">
        <v>521</v>
      </c>
    </row>
    <row r="161" spans="1:6">
      <c r="A161" t="s">
        <v>523</v>
      </c>
      <c r="B161" t="s">
        <v>640</v>
      </c>
      <c r="C161" t="s">
        <v>522</v>
      </c>
      <c r="D161" t="s">
        <v>523</v>
      </c>
      <c r="E161" t="s">
        <v>523</v>
      </c>
      <c r="F161" t="s">
        <v>524</v>
      </c>
    </row>
    <row r="162" spans="1:6">
      <c r="A162" t="s">
        <v>526</v>
      </c>
      <c r="B162" t="s">
        <v>641</v>
      </c>
      <c r="C162" t="s">
        <v>525</v>
      </c>
      <c r="D162" t="s">
        <v>526</v>
      </c>
      <c r="E162" t="s">
        <v>526</v>
      </c>
      <c r="F162" t="s">
        <v>527</v>
      </c>
    </row>
    <row r="163" spans="1:6">
      <c r="A163" t="s">
        <v>529</v>
      </c>
      <c r="B163" t="s">
        <v>642</v>
      </c>
      <c r="C163" t="s">
        <v>528</v>
      </c>
      <c r="D163" t="s">
        <v>529</v>
      </c>
      <c r="E163" t="s">
        <v>529</v>
      </c>
      <c r="F163" t="s">
        <v>530</v>
      </c>
    </row>
    <row r="164" spans="1:6">
      <c r="A164" t="s">
        <v>532</v>
      </c>
      <c r="B164" t="s">
        <v>643</v>
      </c>
      <c r="C164" t="s">
        <v>531</v>
      </c>
      <c r="D164" t="s">
        <v>532</v>
      </c>
      <c r="E164" t="s">
        <v>532</v>
      </c>
      <c r="F164" t="s">
        <v>533</v>
      </c>
    </row>
    <row r="165" spans="1:6">
      <c r="A165" t="s">
        <v>535</v>
      </c>
      <c r="B165" t="s">
        <v>644</v>
      </c>
      <c r="C165" t="s">
        <v>534</v>
      </c>
      <c r="D165" t="s">
        <v>535</v>
      </c>
      <c r="E165" t="s">
        <v>535</v>
      </c>
      <c r="F165" t="s">
        <v>536</v>
      </c>
    </row>
    <row r="166" spans="1:6">
      <c r="A166" t="s">
        <v>645</v>
      </c>
      <c r="B166" t="s">
        <v>646</v>
      </c>
      <c r="C166" s="3" t="s">
        <v>537</v>
      </c>
      <c r="D166" t="s">
        <v>645</v>
      </c>
      <c r="E166" t="s">
        <v>645</v>
      </c>
      <c r="F166" t="s">
        <v>539</v>
      </c>
    </row>
    <row r="167" spans="1:6">
      <c r="A167" t="s">
        <v>541</v>
      </c>
      <c r="B167" t="s">
        <v>647</v>
      </c>
      <c r="C167" t="s">
        <v>540</v>
      </c>
      <c r="D167" t="s">
        <v>541</v>
      </c>
      <c r="E167" t="s">
        <v>541</v>
      </c>
      <c r="F167" t="s">
        <v>542</v>
      </c>
    </row>
    <row r="168" spans="1:6">
      <c r="A168" t="s">
        <v>648</v>
      </c>
      <c r="B168" t="s">
        <v>649</v>
      </c>
      <c r="C168" s="3" t="s">
        <v>537</v>
      </c>
      <c r="D168" t="s">
        <v>648</v>
      </c>
      <c r="E168" t="s">
        <v>648</v>
      </c>
      <c r="F168" t="s">
        <v>650</v>
      </c>
    </row>
    <row r="169" spans="1:6">
      <c r="A169" t="s">
        <v>543</v>
      </c>
      <c r="B169" t="s">
        <v>543</v>
      </c>
      <c r="C169" t="s">
        <v>543</v>
      </c>
    </row>
    <row r="170" spans="1:6">
      <c r="A170" t="s">
        <v>545</v>
      </c>
      <c r="B170" t="s">
        <v>545</v>
      </c>
      <c r="C170" t="s">
        <v>545</v>
      </c>
    </row>
    <row r="171" spans="1:6">
      <c r="A171" t="s">
        <v>547</v>
      </c>
      <c r="B171" t="s">
        <v>547</v>
      </c>
      <c r="C171" t="s">
        <v>547</v>
      </c>
    </row>
    <row r="172" spans="1:6">
      <c r="A172" t="s">
        <v>549</v>
      </c>
      <c r="B172" t="s">
        <v>549</v>
      </c>
      <c r="C172" t="s">
        <v>549</v>
      </c>
    </row>
    <row r="173" spans="1:6">
      <c r="A173" t="s">
        <v>551</v>
      </c>
      <c r="B173" t="s">
        <v>551</v>
      </c>
      <c r="C173" t="s">
        <v>551</v>
      </c>
    </row>
    <row r="174" spans="1:6">
      <c r="A174" t="s">
        <v>553</v>
      </c>
      <c r="B174" t="s">
        <v>553</v>
      </c>
      <c r="C174" t="s">
        <v>553</v>
      </c>
    </row>
    <row r="175" spans="1:6">
      <c r="A175" t="s">
        <v>651</v>
      </c>
      <c r="B175" t="s">
        <v>651</v>
      </c>
      <c r="C175" t="s">
        <v>651</v>
      </c>
      <c r="D175" t="s">
        <v>651</v>
      </c>
      <c r="E175" t="s">
        <v>651</v>
      </c>
    </row>
    <row r="176" spans="1:6">
      <c r="A176" t="s">
        <v>572</v>
      </c>
      <c r="B176" t="s">
        <v>566</v>
      </c>
    </row>
    <row r="177" spans="1:2">
      <c r="A177" t="s">
        <v>593</v>
      </c>
      <c r="B177" t="s">
        <v>591</v>
      </c>
    </row>
    <row r="178" spans="1:2">
      <c r="A178" t="s">
        <v>567</v>
      </c>
      <c r="B178" t="s">
        <v>566</v>
      </c>
    </row>
    <row r="179" spans="1:2">
      <c r="A179" t="s">
        <v>568</v>
      </c>
      <c r="B179" t="s">
        <v>566</v>
      </c>
    </row>
    <row r="180" spans="1:2">
      <c r="A180" t="s">
        <v>578</v>
      </c>
      <c r="B180" t="s">
        <v>566</v>
      </c>
    </row>
    <row r="181" spans="1:2">
      <c r="A181" t="s">
        <v>569</v>
      </c>
      <c r="B181" t="s">
        <v>566</v>
      </c>
    </row>
    <row r="182" spans="1:2">
      <c r="A182" t="s">
        <v>571</v>
      </c>
      <c r="B182" t="s">
        <v>566</v>
      </c>
    </row>
    <row r="183" spans="1:2">
      <c r="A183" t="s">
        <v>575</v>
      </c>
      <c r="B183" t="s">
        <v>566</v>
      </c>
    </row>
    <row r="184" spans="1:2">
      <c r="A184" t="s">
        <v>592</v>
      </c>
      <c r="B184" t="s">
        <v>591</v>
      </c>
    </row>
    <row r="185" spans="1:2">
      <c r="A185" t="s">
        <v>594</v>
      </c>
      <c r="B185" t="s">
        <v>591</v>
      </c>
    </row>
    <row r="186" spans="1:2">
      <c r="A186" t="s">
        <v>595</v>
      </c>
      <c r="B186" t="s">
        <v>591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A4A4-0284-45C4-AE5B-D799DC138D13}">
  <dimension ref="A2:F184"/>
  <sheetViews>
    <sheetView topLeftCell="A9" workbookViewId="0">
      <selection activeCell="D40" sqref="D40"/>
    </sheetView>
  </sheetViews>
  <sheetFormatPr defaultColWidth="11.5546875" defaultRowHeight="13.8"/>
  <cols>
    <col min="3" max="3" width="26.109375" customWidth="1"/>
    <col min="4" max="4" width="13.5546875" customWidth="1"/>
    <col min="5" max="5" width="22.33203125" customWidth="1"/>
    <col min="6" max="6" width="83.109375" customWidth="1"/>
  </cols>
  <sheetData>
    <row r="2" spans="1:6" ht="14.4">
      <c r="A2" s="2" t="s">
        <v>653</v>
      </c>
      <c r="B2" s="2" t="s">
        <v>2</v>
      </c>
      <c r="C2" s="2" t="s">
        <v>3930</v>
      </c>
      <c r="D2" s="2" t="s">
        <v>558</v>
      </c>
      <c r="E2" s="2" t="s">
        <v>3932</v>
      </c>
      <c r="F2" s="2" t="s">
        <v>3933</v>
      </c>
    </row>
    <row r="3" spans="1:6">
      <c r="A3" t="s">
        <v>6</v>
      </c>
      <c r="B3" t="s">
        <v>6</v>
      </c>
      <c r="C3" t="s">
        <v>7</v>
      </c>
      <c r="D3" t="s">
        <v>561</v>
      </c>
      <c r="E3" t="s">
        <v>3934</v>
      </c>
      <c r="F3" t="s">
        <v>3935</v>
      </c>
    </row>
    <row r="4" spans="1:6">
      <c r="A4" t="s">
        <v>9</v>
      </c>
      <c r="B4" t="s">
        <v>9</v>
      </c>
      <c r="C4" t="s">
        <v>10</v>
      </c>
      <c r="D4" t="s">
        <v>561</v>
      </c>
      <c r="E4" t="s">
        <v>3936</v>
      </c>
      <c r="F4" t="s">
        <v>3877</v>
      </c>
    </row>
    <row r="5" spans="1:6">
      <c r="A5" t="s">
        <v>12</v>
      </c>
      <c r="B5" t="s">
        <v>12</v>
      </c>
      <c r="C5" t="s">
        <v>562</v>
      </c>
      <c r="D5" t="s">
        <v>561</v>
      </c>
      <c r="E5" t="s">
        <v>3937</v>
      </c>
      <c r="F5" t="s">
        <v>3256</v>
      </c>
    </row>
    <row r="6" spans="1:6">
      <c r="A6" t="s">
        <v>16</v>
      </c>
      <c r="B6" t="s">
        <v>16</v>
      </c>
      <c r="C6" t="s">
        <v>17</v>
      </c>
      <c r="D6" t="s">
        <v>561</v>
      </c>
      <c r="E6" t="s">
        <v>3938</v>
      </c>
      <c r="F6" t="s">
        <v>3254</v>
      </c>
    </row>
    <row r="7" spans="1:6">
      <c r="A7" t="s">
        <v>19</v>
      </c>
      <c r="B7" t="s">
        <v>19</v>
      </c>
      <c r="C7" t="s">
        <v>20</v>
      </c>
      <c r="D7" t="s">
        <v>561</v>
      </c>
      <c r="E7" t="s">
        <v>3939</v>
      </c>
      <c r="F7" t="s">
        <v>3253</v>
      </c>
    </row>
    <row r="8" spans="1:6">
      <c r="A8" t="s">
        <v>22</v>
      </c>
      <c r="B8" t="s">
        <v>22</v>
      </c>
      <c r="C8" t="s">
        <v>23</v>
      </c>
      <c r="D8" t="s">
        <v>561</v>
      </c>
      <c r="E8" t="s">
        <v>3940</v>
      </c>
      <c r="F8" t="s">
        <v>3258</v>
      </c>
    </row>
    <row r="9" spans="1:6">
      <c r="A9" t="s">
        <v>25</v>
      </c>
      <c r="B9" t="s">
        <v>25</v>
      </c>
      <c r="C9" t="s">
        <v>26</v>
      </c>
      <c r="D9" t="s">
        <v>561</v>
      </c>
      <c r="E9" t="s">
        <v>3941</v>
      </c>
      <c r="F9" t="s">
        <v>1661</v>
      </c>
    </row>
    <row r="10" spans="1:6">
      <c r="A10" t="s">
        <v>28</v>
      </c>
      <c r="B10" t="s">
        <v>28</v>
      </c>
      <c r="C10" t="s">
        <v>29</v>
      </c>
      <c r="D10" t="s">
        <v>561</v>
      </c>
      <c r="E10" t="s">
        <v>3942</v>
      </c>
      <c r="F10" t="s">
        <v>29</v>
      </c>
    </row>
    <row r="11" spans="1:6">
      <c r="A11" t="s">
        <v>31</v>
      </c>
      <c r="B11" t="s">
        <v>31</v>
      </c>
      <c r="C11" t="s">
        <v>32</v>
      </c>
      <c r="D11" t="s">
        <v>561</v>
      </c>
      <c r="E11" t="s">
        <v>3943</v>
      </c>
      <c r="F11" t="s">
        <v>3944</v>
      </c>
    </row>
    <row r="12" spans="1:6">
      <c r="A12" t="s">
        <v>34</v>
      </c>
      <c r="B12" t="s">
        <v>34</v>
      </c>
      <c r="C12" t="s">
        <v>35</v>
      </c>
      <c r="D12" t="s">
        <v>561</v>
      </c>
      <c r="E12" t="s">
        <v>3945</v>
      </c>
      <c r="F12" t="s">
        <v>35</v>
      </c>
    </row>
    <row r="13" spans="1:6">
      <c r="A13" t="s">
        <v>37</v>
      </c>
      <c r="B13" t="s">
        <v>37</v>
      </c>
      <c r="C13" t="s">
        <v>38</v>
      </c>
      <c r="D13" t="s">
        <v>561</v>
      </c>
      <c r="E13" t="s">
        <v>3946</v>
      </c>
      <c r="F13" t="s">
        <v>3251</v>
      </c>
    </row>
    <row r="14" spans="1:6">
      <c r="A14" t="s">
        <v>40</v>
      </c>
      <c r="B14" t="s">
        <v>40</v>
      </c>
      <c r="C14" t="s">
        <v>41</v>
      </c>
      <c r="D14" t="s">
        <v>561</v>
      </c>
      <c r="E14" t="s">
        <v>3947</v>
      </c>
      <c r="F14" t="s">
        <v>3948</v>
      </c>
    </row>
    <row r="15" spans="1:6">
      <c r="A15" t="s">
        <v>43</v>
      </c>
      <c r="B15" t="s">
        <v>43</v>
      </c>
      <c r="C15" t="s">
        <v>44</v>
      </c>
      <c r="D15" t="s">
        <v>561</v>
      </c>
      <c r="E15" t="s">
        <v>3949</v>
      </c>
      <c r="F15" t="s">
        <v>3252</v>
      </c>
    </row>
    <row r="16" spans="1:6">
      <c r="A16" t="s">
        <v>46</v>
      </c>
      <c r="B16" t="s">
        <v>46</v>
      </c>
      <c r="C16" t="s">
        <v>47</v>
      </c>
      <c r="D16" t="s">
        <v>561</v>
      </c>
      <c r="E16" t="s">
        <v>3950</v>
      </c>
      <c r="F16" t="s">
        <v>3244</v>
      </c>
    </row>
    <row r="17" spans="1:6">
      <c r="A17" t="s">
        <v>49</v>
      </c>
      <c r="B17" t="s">
        <v>49</v>
      </c>
      <c r="C17" t="s">
        <v>50</v>
      </c>
      <c r="D17" t="s">
        <v>561</v>
      </c>
      <c r="E17" t="s">
        <v>3951</v>
      </c>
      <c r="F17" t="s">
        <v>3243</v>
      </c>
    </row>
    <row r="18" spans="1:6">
      <c r="A18" t="s">
        <v>52</v>
      </c>
      <c r="B18" t="s">
        <v>52</v>
      </c>
      <c r="C18" t="s">
        <v>53</v>
      </c>
      <c r="D18" t="s">
        <v>561</v>
      </c>
      <c r="E18" t="s">
        <v>3952</v>
      </c>
      <c r="F18" t="s">
        <v>3245</v>
      </c>
    </row>
    <row r="19" spans="1:6">
      <c r="A19" t="s">
        <v>55</v>
      </c>
      <c r="B19" t="s">
        <v>55</v>
      </c>
      <c r="C19" t="s">
        <v>56</v>
      </c>
      <c r="D19" t="s">
        <v>561</v>
      </c>
      <c r="E19" t="s">
        <v>3953</v>
      </c>
      <c r="F19" t="s">
        <v>3249</v>
      </c>
    </row>
    <row r="20" spans="1:6">
      <c r="A20" t="s">
        <v>58</v>
      </c>
      <c r="B20" t="s">
        <v>58</v>
      </c>
      <c r="C20" t="s">
        <v>60</v>
      </c>
      <c r="D20" t="s">
        <v>561</v>
      </c>
      <c r="E20" t="s">
        <v>3954</v>
      </c>
      <c r="F20" t="s">
        <v>3883</v>
      </c>
    </row>
    <row r="21" spans="1:6">
      <c r="A21" t="s">
        <v>3955</v>
      </c>
      <c r="B21" t="s">
        <v>63</v>
      </c>
      <c r="C21" t="s">
        <v>64</v>
      </c>
      <c r="D21" t="s">
        <v>564</v>
      </c>
      <c r="E21" t="s">
        <v>3956</v>
      </c>
      <c r="F21" t="s">
        <v>3157</v>
      </c>
    </row>
    <row r="22" spans="1:6">
      <c r="A22" t="s">
        <v>695</v>
      </c>
      <c r="B22" t="s">
        <v>63</v>
      </c>
      <c r="C22" t="s">
        <v>3957</v>
      </c>
      <c r="D22" t="s">
        <v>564</v>
      </c>
    </row>
    <row r="23" spans="1:6">
      <c r="A23" t="s">
        <v>66</v>
      </c>
      <c r="B23" t="s">
        <v>66</v>
      </c>
      <c r="C23" t="s">
        <v>67</v>
      </c>
      <c r="D23" t="s">
        <v>565</v>
      </c>
      <c r="E23" t="s">
        <v>3958</v>
      </c>
      <c r="F23" t="s">
        <v>3158</v>
      </c>
    </row>
    <row r="24" spans="1:6">
      <c r="A24" t="s">
        <v>69</v>
      </c>
      <c r="B24" t="s">
        <v>69</v>
      </c>
      <c r="C24" t="s">
        <v>70</v>
      </c>
      <c r="D24" t="s">
        <v>566</v>
      </c>
      <c r="E24" t="s">
        <v>3391</v>
      </c>
      <c r="F24" t="s">
        <v>70</v>
      </c>
    </row>
    <row r="25" spans="1:6">
      <c r="A25" t="s">
        <v>72</v>
      </c>
      <c r="B25" t="s">
        <v>72</v>
      </c>
      <c r="C25" t="s">
        <v>73</v>
      </c>
      <c r="D25" t="s">
        <v>566</v>
      </c>
      <c r="E25" t="s">
        <v>3392</v>
      </c>
      <c r="F25" t="s">
        <v>3959</v>
      </c>
    </row>
    <row r="26" spans="1:6">
      <c r="A26" t="s">
        <v>75</v>
      </c>
      <c r="B26" t="s">
        <v>75</v>
      </c>
      <c r="C26" t="s">
        <v>76</v>
      </c>
      <c r="D26" t="s">
        <v>566</v>
      </c>
      <c r="E26" t="s">
        <v>3393</v>
      </c>
      <c r="F26" t="s">
        <v>3282</v>
      </c>
    </row>
    <row r="27" spans="1:6">
      <c r="A27" t="s">
        <v>78</v>
      </c>
      <c r="B27" t="s">
        <v>78</v>
      </c>
      <c r="C27" t="s">
        <v>79</v>
      </c>
      <c r="D27" t="s">
        <v>566</v>
      </c>
      <c r="E27" t="s">
        <v>3960</v>
      </c>
      <c r="F27" t="s">
        <v>3284</v>
      </c>
    </row>
    <row r="28" spans="1:6">
      <c r="A28" t="s">
        <v>81</v>
      </c>
      <c r="B28" t="s">
        <v>81</v>
      </c>
      <c r="C28" t="s">
        <v>82</v>
      </c>
      <c r="D28" t="s">
        <v>566</v>
      </c>
      <c r="E28" t="s">
        <v>3394</v>
      </c>
      <c r="F28" t="s">
        <v>3283</v>
      </c>
    </row>
    <row r="29" spans="1:6">
      <c r="A29" t="s">
        <v>84</v>
      </c>
      <c r="B29" t="s">
        <v>84</v>
      </c>
      <c r="C29" t="s">
        <v>85</v>
      </c>
      <c r="D29" t="s">
        <v>566</v>
      </c>
      <c r="E29" t="s">
        <v>3395</v>
      </c>
      <c r="F29" t="s">
        <v>85</v>
      </c>
    </row>
    <row r="30" spans="1:6">
      <c r="A30" t="s">
        <v>87</v>
      </c>
      <c r="B30" t="s">
        <v>87</v>
      </c>
      <c r="C30" t="s">
        <v>88</v>
      </c>
      <c r="D30" t="s">
        <v>566</v>
      </c>
      <c r="E30" t="s">
        <v>3396</v>
      </c>
      <c r="F30" t="s">
        <v>1662</v>
      </c>
    </row>
    <row r="31" spans="1:6">
      <c r="A31" t="s">
        <v>90</v>
      </c>
      <c r="B31" t="s">
        <v>90</v>
      </c>
      <c r="C31" t="s">
        <v>91</v>
      </c>
      <c r="D31" t="s">
        <v>566</v>
      </c>
      <c r="E31" t="s">
        <v>3961</v>
      </c>
      <c r="F31" t="s">
        <v>3269</v>
      </c>
    </row>
    <row r="32" spans="1:6">
      <c r="A32" t="s">
        <v>93</v>
      </c>
      <c r="B32" t="s">
        <v>93</v>
      </c>
      <c r="C32" t="s">
        <v>94</v>
      </c>
      <c r="D32" t="s">
        <v>566</v>
      </c>
      <c r="E32" t="s">
        <v>3962</v>
      </c>
      <c r="F32" t="s">
        <v>3270</v>
      </c>
    </row>
    <row r="33" spans="1:6">
      <c r="A33" t="s">
        <v>96</v>
      </c>
      <c r="B33" t="s">
        <v>96</v>
      </c>
      <c r="C33" t="s">
        <v>97</v>
      </c>
      <c r="D33" t="s">
        <v>566</v>
      </c>
      <c r="E33" t="s">
        <v>3963</v>
      </c>
      <c r="F33" t="s">
        <v>3272</v>
      </c>
    </row>
    <row r="34" spans="1:6">
      <c r="A34" t="s">
        <v>99</v>
      </c>
      <c r="B34" t="s">
        <v>99</v>
      </c>
      <c r="C34" t="s">
        <v>100</v>
      </c>
      <c r="D34" t="s">
        <v>566</v>
      </c>
      <c r="E34" t="s">
        <v>3964</v>
      </c>
      <c r="F34" t="s">
        <v>3965</v>
      </c>
    </row>
    <row r="35" spans="1:6">
      <c r="A35" t="s">
        <v>102</v>
      </c>
      <c r="B35" t="s">
        <v>102</v>
      </c>
      <c r="C35" t="s">
        <v>103</v>
      </c>
      <c r="D35" t="s">
        <v>566</v>
      </c>
      <c r="E35" t="s">
        <v>3966</v>
      </c>
      <c r="F35" t="s">
        <v>3280</v>
      </c>
    </row>
    <row r="36" spans="1:6">
      <c r="A36" t="s">
        <v>105</v>
      </c>
      <c r="B36" t="s">
        <v>105</v>
      </c>
      <c r="C36" t="s">
        <v>107</v>
      </c>
      <c r="D36" t="s">
        <v>566</v>
      </c>
      <c r="E36" t="s">
        <v>3967</v>
      </c>
      <c r="F36" t="s">
        <v>3968</v>
      </c>
    </row>
    <row r="37" spans="1:6">
      <c r="A37" t="s">
        <v>109</v>
      </c>
      <c r="B37" t="s">
        <v>109</v>
      </c>
      <c r="C37" t="s">
        <v>110</v>
      </c>
      <c r="D37" t="s">
        <v>566</v>
      </c>
      <c r="E37" t="s">
        <v>3969</v>
      </c>
      <c r="F37" t="s">
        <v>3273</v>
      </c>
    </row>
    <row r="38" spans="1:6">
      <c r="A38" t="s">
        <v>112</v>
      </c>
      <c r="B38" t="s">
        <v>112</v>
      </c>
      <c r="C38" t="s">
        <v>113</v>
      </c>
      <c r="D38" t="s">
        <v>566</v>
      </c>
      <c r="E38" t="s">
        <v>3970</v>
      </c>
      <c r="F38" t="s">
        <v>3274</v>
      </c>
    </row>
    <row r="39" spans="1:6">
      <c r="A39" t="s">
        <v>115</v>
      </c>
      <c r="B39" t="s">
        <v>115</v>
      </c>
      <c r="C39" t="s">
        <v>116</v>
      </c>
      <c r="D39" t="s">
        <v>566</v>
      </c>
      <c r="E39" t="s">
        <v>3971</v>
      </c>
      <c r="F39" t="s">
        <v>3275</v>
      </c>
    </row>
    <row r="40" spans="1:6">
      <c r="A40" t="s">
        <v>118</v>
      </c>
      <c r="B40" t="s">
        <v>118</v>
      </c>
      <c r="C40" t="s">
        <v>120</v>
      </c>
      <c r="D40" t="s">
        <v>566</v>
      </c>
      <c r="E40" t="s">
        <v>3972</v>
      </c>
      <c r="F40" t="s">
        <v>3271</v>
      </c>
    </row>
    <row r="41" spans="1:6">
      <c r="A41" t="s">
        <v>133</v>
      </c>
      <c r="B41" t="s">
        <v>133</v>
      </c>
      <c r="C41" t="s">
        <v>134</v>
      </c>
      <c r="D41" t="s">
        <v>566</v>
      </c>
      <c r="E41" t="s">
        <v>3973</v>
      </c>
      <c r="F41" t="s">
        <v>1654</v>
      </c>
    </row>
    <row r="42" spans="1:6">
      <c r="A42" t="s">
        <v>136</v>
      </c>
      <c r="B42" t="s">
        <v>136</v>
      </c>
      <c r="C42" t="s">
        <v>137</v>
      </c>
      <c r="D42" t="s">
        <v>566</v>
      </c>
      <c r="E42" t="s">
        <v>3974</v>
      </c>
      <c r="F42" t="s">
        <v>1655</v>
      </c>
    </row>
    <row r="43" spans="1:6">
      <c r="A43" t="s">
        <v>139</v>
      </c>
      <c r="B43" t="s">
        <v>139</v>
      </c>
      <c r="C43" t="s">
        <v>140</v>
      </c>
      <c r="D43" t="s">
        <v>566</v>
      </c>
      <c r="E43" t="s">
        <v>3975</v>
      </c>
      <c r="F43" t="s">
        <v>3266</v>
      </c>
    </row>
    <row r="44" spans="1:6">
      <c r="A44" t="s">
        <v>142</v>
      </c>
      <c r="B44" t="s">
        <v>142</v>
      </c>
      <c r="C44" t="s">
        <v>143</v>
      </c>
      <c r="D44" t="s">
        <v>566</v>
      </c>
      <c r="E44" t="s">
        <v>3976</v>
      </c>
      <c r="F44" t="s">
        <v>143</v>
      </c>
    </row>
    <row r="45" spans="1:6">
      <c r="A45" t="s">
        <v>573</v>
      </c>
      <c r="B45" t="s">
        <v>573</v>
      </c>
      <c r="C45" t="s">
        <v>146</v>
      </c>
      <c r="D45" t="s">
        <v>566</v>
      </c>
      <c r="E45" t="s">
        <v>3977</v>
      </c>
      <c r="F45" t="s">
        <v>3978</v>
      </c>
    </row>
    <row r="46" spans="1:6">
      <c r="A46" t="s">
        <v>576</v>
      </c>
      <c r="B46" t="s">
        <v>576</v>
      </c>
      <c r="C46" t="s">
        <v>577</v>
      </c>
      <c r="D46" t="s">
        <v>566</v>
      </c>
      <c r="E46" t="s">
        <v>3979</v>
      </c>
      <c r="F46" t="s">
        <v>577</v>
      </c>
    </row>
    <row r="47" spans="1:6">
      <c r="A47" t="s">
        <v>151</v>
      </c>
      <c r="B47" t="s">
        <v>151</v>
      </c>
      <c r="C47" t="s">
        <v>152</v>
      </c>
      <c r="D47" t="s">
        <v>566</v>
      </c>
      <c r="E47" t="s">
        <v>3980</v>
      </c>
      <c r="F47" t="s">
        <v>3890</v>
      </c>
    </row>
    <row r="48" spans="1:6">
      <c r="A48" t="s">
        <v>154</v>
      </c>
      <c r="B48" t="s">
        <v>154</v>
      </c>
      <c r="C48" t="s">
        <v>156</v>
      </c>
      <c r="D48" t="s">
        <v>566</v>
      </c>
      <c r="E48" t="s">
        <v>3400</v>
      </c>
      <c r="F48" t="s">
        <v>156</v>
      </c>
    </row>
    <row r="49" spans="1:6">
      <c r="A49" t="s">
        <v>162</v>
      </c>
      <c r="B49" t="s">
        <v>162</v>
      </c>
      <c r="C49" t="s">
        <v>163</v>
      </c>
      <c r="D49" t="s">
        <v>566</v>
      </c>
      <c r="E49" t="s">
        <v>3401</v>
      </c>
      <c r="F49" t="s">
        <v>3263</v>
      </c>
    </row>
    <row r="50" spans="1:6">
      <c r="A50" t="s">
        <v>158</v>
      </c>
      <c r="B50" t="s">
        <v>158</v>
      </c>
      <c r="C50" t="s">
        <v>160</v>
      </c>
      <c r="D50" t="s">
        <v>566</v>
      </c>
      <c r="E50" t="s">
        <v>3402</v>
      </c>
      <c r="F50" t="s">
        <v>3264</v>
      </c>
    </row>
    <row r="51" spans="1:6">
      <c r="A51" t="s">
        <v>166</v>
      </c>
      <c r="B51" t="s">
        <v>166</v>
      </c>
      <c r="C51" t="s">
        <v>167</v>
      </c>
      <c r="D51" t="s">
        <v>566</v>
      </c>
      <c r="E51" t="s">
        <v>1680</v>
      </c>
      <c r="F51" t="s">
        <v>3891</v>
      </c>
    </row>
    <row r="52" spans="1:6">
      <c r="A52" t="s">
        <v>169</v>
      </c>
      <c r="B52" t="s">
        <v>169</v>
      </c>
      <c r="C52" t="s">
        <v>170</v>
      </c>
      <c r="D52" t="s">
        <v>580</v>
      </c>
      <c r="E52" t="s">
        <v>3403</v>
      </c>
      <c r="F52" t="s">
        <v>3247</v>
      </c>
    </row>
    <row r="53" spans="1:6">
      <c r="A53" t="s">
        <v>172</v>
      </c>
      <c r="B53" t="s">
        <v>172</v>
      </c>
      <c r="C53" t="s">
        <v>173</v>
      </c>
      <c r="D53" t="s">
        <v>580</v>
      </c>
      <c r="E53" t="s">
        <v>3404</v>
      </c>
      <c r="F53" t="s">
        <v>3248</v>
      </c>
    </row>
    <row r="54" spans="1:6">
      <c r="A54" t="s">
        <v>175</v>
      </c>
      <c r="B54" t="s">
        <v>175</v>
      </c>
      <c r="C54" t="s">
        <v>176</v>
      </c>
      <c r="D54" t="s">
        <v>580</v>
      </c>
      <c r="E54" t="s">
        <v>3405</v>
      </c>
      <c r="F54" t="s">
        <v>3255</v>
      </c>
    </row>
    <row r="55" spans="1:6">
      <c r="A55" t="s">
        <v>178</v>
      </c>
      <c r="B55" t="s">
        <v>178</v>
      </c>
      <c r="C55" t="s">
        <v>179</v>
      </c>
      <c r="D55" t="s">
        <v>580</v>
      </c>
      <c r="E55" t="s">
        <v>3406</v>
      </c>
      <c r="F55" t="s">
        <v>1683</v>
      </c>
    </row>
    <row r="56" spans="1:6">
      <c r="A56" t="s">
        <v>181</v>
      </c>
      <c r="B56" t="s">
        <v>181</v>
      </c>
      <c r="C56" t="s">
        <v>182</v>
      </c>
      <c r="D56" t="s">
        <v>580</v>
      </c>
      <c r="E56" t="s">
        <v>3407</v>
      </c>
      <c r="F56" t="s">
        <v>1684</v>
      </c>
    </row>
    <row r="57" spans="1:6">
      <c r="A57" t="s">
        <v>184</v>
      </c>
      <c r="B57" t="s">
        <v>184</v>
      </c>
      <c r="C57" t="s">
        <v>185</v>
      </c>
      <c r="D57" t="s">
        <v>580</v>
      </c>
      <c r="E57" t="s">
        <v>3408</v>
      </c>
      <c r="F57" t="s">
        <v>3257</v>
      </c>
    </row>
    <row r="58" spans="1:6">
      <c r="A58" t="s">
        <v>187</v>
      </c>
      <c r="B58" t="s">
        <v>187</v>
      </c>
      <c r="C58" t="s">
        <v>188</v>
      </c>
      <c r="D58" t="s">
        <v>580</v>
      </c>
      <c r="E58" t="s">
        <v>3981</v>
      </c>
      <c r="F58" t="s">
        <v>1685</v>
      </c>
    </row>
    <row r="59" spans="1:6">
      <c r="A59" t="s">
        <v>190</v>
      </c>
      <c r="B59" t="s">
        <v>190</v>
      </c>
      <c r="C59" t="s">
        <v>192</v>
      </c>
      <c r="D59" t="s">
        <v>580</v>
      </c>
      <c r="E59" s="18" t="s">
        <v>3982</v>
      </c>
      <c r="F59" t="s">
        <v>192</v>
      </c>
    </row>
    <row r="60" spans="1:6">
      <c r="A60" t="s">
        <v>196</v>
      </c>
      <c r="B60" t="s">
        <v>196</v>
      </c>
      <c r="C60" t="s">
        <v>197</v>
      </c>
      <c r="D60" t="s">
        <v>580</v>
      </c>
      <c r="E60" t="s">
        <v>1687</v>
      </c>
      <c r="F60" t="s">
        <v>197</v>
      </c>
    </row>
    <row r="61" spans="1:6">
      <c r="A61" t="s">
        <v>199</v>
      </c>
      <c r="B61" t="s">
        <v>199</v>
      </c>
      <c r="C61" t="s">
        <v>200</v>
      </c>
      <c r="D61" t="s">
        <v>580</v>
      </c>
      <c r="E61" t="s">
        <v>1688</v>
      </c>
      <c r="F61" t="s">
        <v>200</v>
      </c>
    </row>
    <row r="62" spans="1:6">
      <c r="A62" t="s">
        <v>202</v>
      </c>
      <c r="B62" t="s">
        <v>202</v>
      </c>
      <c r="C62" t="s">
        <v>203</v>
      </c>
      <c r="D62" t="s">
        <v>582</v>
      </c>
      <c r="E62" t="s">
        <v>1690</v>
      </c>
      <c r="F62" t="s">
        <v>203</v>
      </c>
    </row>
    <row r="63" spans="1:6">
      <c r="A63" t="s">
        <v>205</v>
      </c>
      <c r="B63" t="s">
        <v>205</v>
      </c>
      <c r="C63" t="s">
        <v>206</v>
      </c>
      <c r="D63" t="s">
        <v>582</v>
      </c>
      <c r="E63" t="s">
        <v>1691</v>
      </c>
      <c r="F63" t="s">
        <v>206</v>
      </c>
    </row>
    <row r="64" spans="1:6">
      <c r="A64" t="s">
        <v>208</v>
      </c>
      <c r="B64" t="s">
        <v>208</v>
      </c>
      <c r="C64" t="s">
        <v>209</v>
      </c>
      <c r="D64" t="s">
        <v>582</v>
      </c>
      <c r="E64" t="s">
        <v>1692</v>
      </c>
      <c r="F64" t="s">
        <v>1693</v>
      </c>
    </row>
    <row r="65" spans="1:6">
      <c r="A65" t="s">
        <v>211</v>
      </c>
      <c r="B65" t="s">
        <v>211</v>
      </c>
      <c r="C65" t="s">
        <v>212</v>
      </c>
      <c r="D65" t="s">
        <v>583</v>
      </c>
      <c r="E65" t="s">
        <v>1695</v>
      </c>
      <c r="F65" t="s">
        <v>3294</v>
      </c>
    </row>
    <row r="66" spans="1:6">
      <c r="A66" t="s">
        <v>214</v>
      </c>
      <c r="B66" t="s">
        <v>214</v>
      </c>
      <c r="C66" t="s">
        <v>216</v>
      </c>
      <c r="D66" t="s">
        <v>584</v>
      </c>
      <c r="E66" t="s">
        <v>3409</v>
      </c>
      <c r="F66" t="s">
        <v>216</v>
      </c>
    </row>
    <row r="67" spans="1:6">
      <c r="A67" t="s">
        <v>218</v>
      </c>
      <c r="B67" t="s">
        <v>218</v>
      </c>
      <c r="C67" t="s">
        <v>219</v>
      </c>
      <c r="D67" t="s">
        <v>584</v>
      </c>
      <c r="E67" t="s">
        <v>3410</v>
      </c>
      <c r="F67" t="s">
        <v>3296</v>
      </c>
    </row>
    <row r="68" spans="1:6">
      <c r="A68" t="s">
        <v>221</v>
      </c>
      <c r="B68" t="s">
        <v>221</v>
      </c>
      <c r="C68" t="s">
        <v>222</v>
      </c>
      <c r="D68" t="s">
        <v>585</v>
      </c>
      <c r="E68" t="s">
        <v>1698</v>
      </c>
      <c r="F68" t="s">
        <v>3170</v>
      </c>
    </row>
    <row r="69" spans="1:6">
      <c r="A69" t="s">
        <v>224</v>
      </c>
      <c r="B69" t="s">
        <v>224</v>
      </c>
      <c r="C69" t="s">
        <v>225</v>
      </c>
      <c r="D69" t="s">
        <v>586</v>
      </c>
      <c r="E69" t="s">
        <v>3411</v>
      </c>
      <c r="F69" t="s">
        <v>225</v>
      </c>
    </row>
    <row r="70" spans="1:6">
      <c r="A70" t="s">
        <v>750</v>
      </c>
      <c r="B70" t="s">
        <v>227</v>
      </c>
      <c r="C70" t="s">
        <v>3983</v>
      </c>
      <c r="D70" t="s">
        <v>586</v>
      </c>
      <c r="E70" t="s">
        <v>3984</v>
      </c>
      <c r="F70" t="s">
        <v>3985</v>
      </c>
    </row>
    <row r="71" spans="1:6">
      <c r="A71" t="s">
        <v>758</v>
      </c>
      <c r="B71" t="s">
        <v>227</v>
      </c>
      <c r="C71" t="s">
        <v>3986</v>
      </c>
      <c r="D71" t="s">
        <v>586</v>
      </c>
      <c r="E71" t="s">
        <v>3987</v>
      </c>
      <c r="F71" t="s">
        <v>3988</v>
      </c>
    </row>
    <row r="72" spans="1:6">
      <c r="A72" t="s">
        <v>766</v>
      </c>
      <c r="B72" t="s">
        <v>227</v>
      </c>
      <c r="C72" t="s">
        <v>3989</v>
      </c>
      <c r="D72" t="s">
        <v>586</v>
      </c>
      <c r="E72" t="s">
        <v>3990</v>
      </c>
      <c r="F72" t="s">
        <v>3991</v>
      </c>
    </row>
    <row r="73" spans="1:6">
      <c r="A73" t="s">
        <v>775</v>
      </c>
      <c r="B73" t="s">
        <v>227</v>
      </c>
      <c r="C73" t="s">
        <v>3992</v>
      </c>
      <c r="D73" t="s">
        <v>586</v>
      </c>
      <c r="E73" t="s">
        <v>3993</v>
      </c>
      <c r="F73" t="s">
        <v>778</v>
      </c>
    </row>
    <row r="74" spans="1:6">
      <c r="A74" t="s">
        <v>780</v>
      </c>
      <c r="B74" t="s">
        <v>227</v>
      </c>
      <c r="C74" t="s">
        <v>783</v>
      </c>
      <c r="D74" t="s">
        <v>586</v>
      </c>
      <c r="E74" t="s">
        <v>3994</v>
      </c>
      <c r="F74" t="s">
        <v>3995</v>
      </c>
    </row>
    <row r="75" spans="1:6">
      <c r="A75" t="s">
        <v>785</v>
      </c>
      <c r="B75" t="s">
        <v>227</v>
      </c>
      <c r="C75" t="s">
        <v>3996</v>
      </c>
      <c r="D75" t="s">
        <v>586</v>
      </c>
      <c r="E75" t="s">
        <v>3997</v>
      </c>
      <c r="F75" t="s">
        <v>3996</v>
      </c>
    </row>
    <row r="76" spans="1:6">
      <c r="A76" t="s">
        <v>230</v>
      </c>
      <c r="B76" t="s">
        <v>230</v>
      </c>
      <c r="C76" t="s">
        <v>231</v>
      </c>
      <c r="D76" t="s">
        <v>587</v>
      </c>
      <c r="E76" t="s">
        <v>3998</v>
      </c>
      <c r="F76" t="s">
        <v>3999</v>
      </c>
    </row>
    <row r="77" spans="1:6">
      <c r="A77" t="s">
        <v>233</v>
      </c>
      <c r="B77" t="s">
        <v>233</v>
      </c>
      <c r="C77" t="s">
        <v>234</v>
      </c>
      <c r="D77" t="s">
        <v>587</v>
      </c>
      <c r="E77" t="s">
        <v>3413</v>
      </c>
      <c r="F77" t="s">
        <v>3288</v>
      </c>
    </row>
    <row r="78" spans="1:6">
      <c r="A78" t="s">
        <v>236</v>
      </c>
      <c r="B78" t="s">
        <v>236</v>
      </c>
      <c r="C78" t="s">
        <v>237</v>
      </c>
      <c r="D78" t="s">
        <v>587</v>
      </c>
      <c r="E78" t="s">
        <v>3414</v>
      </c>
      <c r="F78" t="s">
        <v>3293</v>
      </c>
    </row>
    <row r="79" spans="1:6">
      <c r="A79" t="s">
        <v>239</v>
      </c>
      <c r="B79" t="s">
        <v>239</v>
      </c>
      <c r="C79" t="s">
        <v>240</v>
      </c>
      <c r="D79" t="s">
        <v>587</v>
      </c>
      <c r="E79" t="s">
        <v>3415</v>
      </c>
      <c r="F79" t="s">
        <v>1705</v>
      </c>
    </row>
    <row r="80" spans="1:6">
      <c r="A80" t="s">
        <v>242</v>
      </c>
      <c r="B80" t="s">
        <v>242</v>
      </c>
      <c r="C80" t="s">
        <v>243</v>
      </c>
      <c r="D80" t="s">
        <v>587</v>
      </c>
      <c r="E80" t="s">
        <v>3416</v>
      </c>
      <c r="F80" t="s">
        <v>3290</v>
      </c>
    </row>
    <row r="81" spans="1:6">
      <c r="A81" t="s">
        <v>245</v>
      </c>
      <c r="B81" t="s">
        <v>245</v>
      </c>
      <c r="C81" t="s">
        <v>246</v>
      </c>
      <c r="D81" t="s">
        <v>587</v>
      </c>
      <c r="E81" t="s">
        <v>3417</v>
      </c>
      <c r="F81" t="s">
        <v>3260</v>
      </c>
    </row>
    <row r="82" spans="1:6">
      <c r="A82" t="s">
        <v>4000</v>
      </c>
      <c r="B82" t="s">
        <v>248</v>
      </c>
      <c r="C82" t="s">
        <v>249</v>
      </c>
      <c r="D82" t="s">
        <v>587</v>
      </c>
      <c r="E82" t="s">
        <v>4001</v>
      </c>
      <c r="F82" t="s">
        <v>4002</v>
      </c>
    </row>
    <row r="83" spans="1:6">
      <c r="A83" t="s">
        <v>829</v>
      </c>
      <c r="B83" t="s">
        <v>248</v>
      </c>
      <c r="C83" t="s">
        <v>4003</v>
      </c>
      <c r="D83" t="s">
        <v>587</v>
      </c>
      <c r="E83" t="s">
        <v>4004</v>
      </c>
      <c r="F83" t="s">
        <v>4003</v>
      </c>
    </row>
    <row r="84" spans="1:6">
      <c r="A84" t="s">
        <v>251</v>
      </c>
      <c r="B84" t="s">
        <v>251</v>
      </c>
      <c r="C84" t="s">
        <v>252</v>
      </c>
      <c r="D84" t="s">
        <v>587</v>
      </c>
      <c r="E84" t="s">
        <v>3418</v>
      </c>
      <c r="F84" t="s">
        <v>252</v>
      </c>
    </row>
    <row r="85" spans="1:6">
      <c r="A85" t="s">
        <v>254</v>
      </c>
      <c r="B85" t="s">
        <v>254</v>
      </c>
      <c r="C85" t="s">
        <v>255</v>
      </c>
      <c r="D85" t="s">
        <v>588</v>
      </c>
      <c r="E85" t="s">
        <v>1707</v>
      </c>
      <c r="F85" t="s">
        <v>3173</v>
      </c>
    </row>
    <row r="86" spans="1:6">
      <c r="A86" t="s">
        <v>257</v>
      </c>
      <c r="B86" t="s">
        <v>257</v>
      </c>
      <c r="C86" t="s">
        <v>258</v>
      </c>
      <c r="D86" t="s">
        <v>589</v>
      </c>
      <c r="E86" t="s">
        <v>3419</v>
      </c>
      <c r="F86" t="s">
        <v>1708</v>
      </c>
    </row>
    <row r="87" spans="1:6">
      <c r="A87" t="s">
        <v>260</v>
      </c>
      <c r="B87" t="s">
        <v>260</v>
      </c>
      <c r="C87" t="s">
        <v>261</v>
      </c>
      <c r="D87" t="s">
        <v>589</v>
      </c>
      <c r="E87" t="s">
        <v>3420</v>
      </c>
      <c r="F87" t="s">
        <v>261</v>
      </c>
    </row>
    <row r="88" spans="1:6">
      <c r="A88" t="s">
        <v>263</v>
      </c>
      <c r="B88" t="s">
        <v>263</v>
      </c>
      <c r="C88" t="s">
        <v>264</v>
      </c>
      <c r="D88" t="s">
        <v>590</v>
      </c>
      <c r="E88" t="s">
        <v>3421</v>
      </c>
      <c r="F88" t="s">
        <v>1713</v>
      </c>
    </row>
    <row r="89" spans="1:6">
      <c r="A89" t="s">
        <v>266</v>
      </c>
      <c r="B89" t="s">
        <v>266</v>
      </c>
      <c r="C89" t="s">
        <v>267</v>
      </c>
      <c r="D89" t="s">
        <v>590</v>
      </c>
      <c r="E89" t="s">
        <v>3422</v>
      </c>
      <c r="F89" t="s">
        <v>267</v>
      </c>
    </row>
    <row r="90" spans="1:6">
      <c r="A90" t="s">
        <v>269</v>
      </c>
      <c r="B90" t="s">
        <v>269</v>
      </c>
      <c r="C90" t="s">
        <v>270</v>
      </c>
      <c r="D90" t="s">
        <v>590</v>
      </c>
      <c r="E90" t="s">
        <v>3424</v>
      </c>
      <c r="F90" t="s">
        <v>1714</v>
      </c>
    </row>
    <row r="91" spans="1:6">
      <c r="A91" t="s">
        <v>272</v>
      </c>
      <c r="B91" t="s">
        <v>272</v>
      </c>
      <c r="C91" t="s">
        <v>273</v>
      </c>
      <c r="D91" t="s">
        <v>590</v>
      </c>
      <c r="E91" t="s">
        <v>3426</v>
      </c>
      <c r="F91" t="s">
        <v>1715</v>
      </c>
    </row>
    <row r="92" spans="1:6">
      <c r="A92" t="s">
        <v>275</v>
      </c>
      <c r="B92" t="s">
        <v>275</v>
      </c>
      <c r="C92" t="s">
        <v>277</v>
      </c>
      <c r="D92" t="s">
        <v>590</v>
      </c>
      <c r="E92" t="s">
        <v>3427</v>
      </c>
      <c r="F92" t="s">
        <v>1716</v>
      </c>
    </row>
    <row r="93" spans="1:6">
      <c r="A93" t="s">
        <v>279</v>
      </c>
      <c r="B93" t="s">
        <v>279</v>
      </c>
      <c r="C93" t="s">
        <v>280</v>
      </c>
      <c r="D93" t="s">
        <v>590</v>
      </c>
      <c r="E93" t="s">
        <v>3429</v>
      </c>
      <c r="F93" t="s">
        <v>1717</v>
      </c>
    </row>
    <row r="94" spans="1:6">
      <c r="A94" t="s">
        <v>282</v>
      </c>
      <c r="B94" t="s">
        <v>282</v>
      </c>
      <c r="C94" t="s">
        <v>283</v>
      </c>
      <c r="D94" t="s">
        <v>590</v>
      </c>
      <c r="E94" t="s">
        <v>3431</v>
      </c>
      <c r="F94" t="s">
        <v>3297</v>
      </c>
    </row>
    <row r="95" spans="1:6">
      <c r="A95" t="s">
        <v>285</v>
      </c>
      <c r="B95" t="s">
        <v>285</v>
      </c>
      <c r="C95" t="s">
        <v>286</v>
      </c>
      <c r="D95" t="s">
        <v>590</v>
      </c>
      <c r="E95" t="s">
        <v>3432</v>
      </c>
      <c r="F95" t="s">
        <v>1711</v>
      </c>
    </row>
    <row r="96" spans="1:6">
      <c r="A96" t="s">
        <v>288</v>
      </c>
      <c r="B96" t="s">
        <v>288</v>
      </c>
      <c r="C96" t="s">
        <v>289</v>
      </c>
      <c r="D96" t="s">
        <v>591</v>
      </c>
      <c r="E96" t="s">
        <v>3433</v>
      </c>
      <c r="F96" t="s">
        <v>4005</v>
      </c>
    </row>
    <row r="97" spans="1:6">
      <c r="A97" t="s">
        <v>291</v>
      </c>
      <c r="B97" t="s">
        <v>291</v>
      </c>
      <c r="C97" t="s">
        <v>292</v>
      </c>
      <c r="D97" t="s">
        <v>591</v>
      </c>
      <c r="E97" t="s">
        <v>4006</v>
      </c>
      <c r="F97" t="s">
        <v>3298</v>
      </c>
    </row>
    <row r="98" spans="1:6">
      <c r="A98" t="s">
        <v>294</v>
      </c>
      <c r="B98" t="s">
        <v>294</v>
      </c>
      <c r="C98" t="s">
        <v>295</v>
      </c>
      <c r="D98" t="s">
        <v>591</v>
      </c>
      <c r="E98" t="s">
        <v>4007</v>
      </c>
      <c r="F98" t="s">
        <v>3299</v>
      </c>
    </row>
    <row r="99" spans="1:6">
      <c r="A99" t="s">
        <v>297</v>
      </c>
      <c r="B99" t="s">
        <v>297</v>
      </c>
      <c r="C99" t="s">
        <v>298</v>
      </c>
      <c r="D99" t="s">
        <v>591</v>
      </c>
      <c r="E99" t="s">
        <v>4008</v>
      </c>
      <c r="F99" t="s">
        <v>3300</v>
      </c>
    </row>
    <row r="100" spans="1:6">
      <c r="A100" t="s">
        <v>300</v>
      </c>
      <c r="B100" t="s">
        <v>300</v>
      </c>
      <c r="C100" t="s">
        <v>301</v>
      </c>
      <c r="D100" t="s">
        <v>591</v>
      </c>
      <c r="E100" t="s">
        <v>3435</v>
      </c>
      <c r="F100" t="s">
        <v>4009</v>
      </c>
    </row>
    <row r="101" spans="1:6">
      <c r="A101" t="s">
        <v>303</v>
      </c>
      <c r="B101" t="s">
        <v>303</v>
      </c>
      <c r="C101" t="s">
        <v>304</v>
      </c>
      <c r="D101" t="s">
        <v>591</v>
      </c>
      <c r="E101" t="s">
        <v>4010</v>
      </c>
      <c r="F101" t="s">
        <v>4011</v>
      </c>
    </row>
    <row r="102" spans="1:6">
      <c r="A102" t="s">
        <v>306</v>
      </c>
      <c r="B102" t="s">
        <v>306</v>
      </c>
      <c r="C102" t="s">
        <v>307</v>
      </c>
      <c r="D102" t="s">
        <v>591</v>
      </c>
      <c r="E102" t="s">
        <v>4012</v>
      </c>
      <c r="F102" t="s">
        <v>4013</v>
      </c>
    </row>
    <row r="103" spans="1:6">
      <c r="A103" t="s">
        <v>309</v>
      </c>
      <c r="B103" t="s">
        <v>309</v>
      </c>
      <c r="C103" t="s">
        <v>310</v>
      </c>
      <c r="D103" t="s">
        <v>591</v>
      </c>
      <c r="E103" t="s">
        <v>4014</v>
      </c>
      <c r="F103" t="s">
        <v>4015</v>
      </c>
    </row>
    <row r="104" spans="1:6">
      <c r="A104" t="s">
        <v>312</v>
      </c>
      <c r="B104" t="s">
        <v>312</v>
      </c>
      <c r="C104" t="s">
        <v>313</v>
      </c>
      <c r="D104" t="s">
        <v>591</v>
      </c>
      <c r="E104" t="s">
        <v>3437</v>
      </c>
      <c r="F104" t="s">
        <v>4016</v>
      </c>
    </row>
    <row r="105" spans="1:6">
      <c r="A105" t="s">
        <v>315</v>
      </c>
      <c r="B105" t="s">
        <v>315</v>
      </c>
      <c r="C105" t="s">
        <v>316</v>
      </c>
      <c r="D105" t="s">
        <v>591</v>
      </c>
      <c r="E105" t="s">
        <v>4017</v>
      </c>
      <c r="F105" t="s">
        <v>3305</v>
      </c>
    </row>
    <row r="106" spans="1:6">
      <c r="A106" t="s">
        <v>318</v>
      </c>
      <c r="B106" t="s">
        <v>318</v>
      </c>
      <c r="C106" t="s">
        <v>320</v>
      </c>
      <c r="D106" t="s">
        <v>591</v>
      </c>
      <c r="E106" t="s">
        <v>4018</v>
      </c>
      <c r="F106" t="s">
        <v>3307</v>
      </c>
    </row>
    <row r="107" spans="1:6">
      <c r="A107" t="s">
        <v>333</v>
      </c>
      <c r="B107" t="s">
        <v>333</v>
      </c>
      <c r="C107" t="s">
        <v>4019</v>
      </c>
      <c r="D107" t="s">
        <v>591</v>
      </c>
      <c r="E107" t="s">
        <v>3439</v>
      </c>
      <c r="F107" t="s">
        <v>3289</v>
      </c>
    </row>
    <row r="108" spans="1:6">
      <c r="A108" t="s">
        <v>336</v>
      </c>
      <c r="B108" t="s">
        <v>336</v>
      </c>
      <c r="C108" t="s">
        <v>338</v>
      </c>
      <c r="D108" t="s">
        <v>591</v>
      </c>
      <c r="E108" t="s">
        <v>4020</v>
      </c>
      <c r="F108" t="s">
        <v>4021</v>
      </c>
    </row>
    <row r="109" spans="1:6">
      <c r="A109" t="s">
        <v>342</v>
      </c>
      <c r="B109" t="s">
        <v>342</v>
      </c>
      <c r="C109" t="s">
        <v>344</v>
      </c>
      <c r="D109" t="s">
        <v>591</v>
      </c>
      <c r="E109" t="s">
        <v>4022</v>
      </c>
      <c r="F109" t="s">
        <v>4023</v>
      </c>
    </row>
    <row r="110" spans="1:6">
      <c r="A110" t="s">
        <v>347</v>
      </c>
      <c r="B110" t="s">
        <v>347</v>
      </c>
      <c r="C110" t="s">
        <v>348</v>
      </c>
      <c r="D110" t="s">
        <v>599</v>
      </c>
      <c r="E110" t="s">
        <v>3442</v>
      </c>
      <c r="F110" t="s">
        <v>1720</v>
      </c>
    </row>
    <row r="111" spans="1:6">
      <c r="A111" t="s">
        <v>350</v>
      </c>
      <c r="B111" t="s">
        <v>350</v>
      </c>
      <c r="C111" t="s">
        <v>351</v>
      </c>
      <c r="D111" t="s">
        <v>599</v>
      </c>
      <c r="E111" t="s">
        <v>3443</v>
      </c>
      <c r="F111" t="s">
        <v>1721</v>
      </c>
    </row>
    <row r="112" spans="1:6">
      <c r="A112" t="s">
        <v>353</v>
      </c>
      <c r="B112" t="s">
        <v>353</v>
      </c>
      <c r="C112" t="s">
        <v>354</v>
      </c>
      <c r="D112" t="s">
        <v>599</v>
      </c>
      <c r="E112" t="s">
        <v>3444</v>
      </c>
      <c r="F112" t="s">
        <v>3314</v>
      </c>
    </row>
    <row r="113" spans="1:6">
      <c r="A113" t="s">
        <v>356</v>
      </c>
      <c r="B113" t="s">
        <v>356</v>
      </c>
      <c r="C113" t="s">
        <v>357</v>
      </c>
      <c r="D113" t="s">
        <v>599</v>
      </c>
      <c r="E113" t="s">
        <v>3446</v>
      </c>
      <c r="F113" t="s">
        <v>3447</v>
      </c>
    </row>
    <row r="114" spans="1:6">
      <c r="A114" t="s">
        <v>359</v>
      </c>
      <c r="B114" t="s">
        <v>359</v>
      </c>
      <c r="C114" t="s">
        <v>360</v>
      </c>
      <c r="D114" t="s">
        <v>599</v>
      </c>
      <c r="E114" t="s">
        <v>3448</v>
      </c>
      <c r="F114" t="s">
        <v>3449</v>
      </c>
    </row>
    <row r="115" spans="1:6">
      <c r="A115" t="s">
        <v>362</v>
      </c>
      <c r="B115" t="s">
        <v>362</v>
      </c>
      <c r="C115" t="s">
        <v>364</v>
      </c>
      <c r="D115" t="s">
        <v>599</v>
      </c>
      <c r="E115" t="s">
        <v>4024</v>
      </c>
      <c r="F115" t="s">
        <v>3313</v>
      </c>
    </row>
    <row r="116" spans="1:6">
      <c r="A116" t="s">
        <v>366</v>
      </c>
      <c r="B116" t="s">
        <v>366</v>
      </c>
      <c r="C116" t="s">
        <v>367</v>
      </c>
      <c r="D116" t="s">
        <v>599</v>
      </c>
      <c r="E116" t="s">
        <v>3445</v>
      </c>
      <c r="F116" t="s">
        <v>3303</v>
      </c>
    </row>
    <row r="117" spans="1:6">
      <c r="A117" t="s">
        <v>369</v>
      </c>
      <c r="B117" t="s">
        <v>369</v>
      </c>
      <c r="C117" t="s">
        <v>370</v>
      </c>
      <c r="D117" t="s">
        <v>600</v>
      </c>
      <c r="E117" t="s">
        <v>1722</v>
      </c>
      <c r="F117" t="s">
        <v>1723</v>
      </c>
    </row>
    <row r="118" spans="1:6">
      <c r="A118" t="s">
        <v>372</v>
      </c>
      <c r="B118" t="s">
        <v>372</v>
      </c>
      <c r="C118" t="s">
        <v>373</v>
      </c>
      <c r="D118" t="s">
        <v>601</v>
      </c>
      <c r="E118" t="s">
        <v>1726</v>
      </c>
      <c r="F118" t="s">
        <v>373</v>
      </c>
    </row>
    <row r="119" spans="1:6">
      <c r="A119" t="s">
        <v>375</v>
      </c>
      <c r="B119" t="s">
        <v>375</v>
      </c>
      <c r="C119" t="s">
        <v>376</v>
      </c>
      <c r="D119" t="s">
        <v>602</v>
      </c>
      <c r="E119" t="s">
        <v>1728</v>
      </c>
      <c r="F119" t="s">
        <v>3304</v>
      </c>
    </row>
    <row r="120" spans="1:6">
      <c r="A120" t="s">
        <v>378</v>
      </c>
      <c r="B120" t="s">
        <v>378</v>
      </c>
      <c r="C120" t="s">
        <v>379</v>
      </c>
      <c r="D120" t="s">
        <v>603</v>
      </c>
      <c r="E120" t="s">
        <v>1730</v>
      </c>
      <c r="F120" t="s">
        <v>1731</v>
      </c>
    </row>
    <row r="121" spans="1:6">
      <c r="A121" t="s">
        <v>381</v>
      </c>
      <c r="B121" t="s">
        <v>381</v>
      </c>
      <c r="C121" t="s">
        <v>382</v>
      </c>
      <c r="D121" t="s">
        <v>604</v>
      </c>
      <c r="E121" t="s">
        <v>4025</v>
      </c>
      <c r="F121" t="s">
        <v>3316</v>
      </c>
    </row>
    <row r="122" spans="1:6">
      <c r="A122" t="s">
        <v>384</v>
      </c>
      <c r="B122" t="s">
        <v>384</v>
      </c>
      <c r="C122" t="s">
        <v>385</v>
      </c>
      <c r="D122" t="s">
        <v>604</v>
      </c>
      <c r="E122" t="s">
        <v>4026</v>
      </c>
      <c r="F122" t="s">
        <v>1733</v>
      </c>
    </row>
    <row r="123" spans="1:6">
      <c r="A123" t="s">
        <v>387</v>
      </c>
      <c r="B123" t="s">
        <v>387</v>
      </c>
      <c r="C123" t="s">
        <v>388</v>
      </c>
      <c r="D123" t="s">
        <v>604</v>
      </c>
      <c r="E123" t="s">
        <v>4027</v>
      </c>
      <c r="F123" t="s">
        <v>1734</v>
      </c>
    </row>
    <row r="124" spans="1:6">
      <c r="A124" t="s">
        <v>390</v>
      </c>
      <c r="B124" t="s">
        <v>390</v>
      </c>
      <c r="C124" t="s">
        <v>391</v>
      </c>
      <c r="D124" t="s">
        <v>604</v>
      </c>
      <c r="E124" t="s">
        <v>4028</v>
      </c>
      <c r="F124" t="s">
        <v>3319</v>
      </c>
    </row>
    <row r="125" spans="1:6">
      <c r="A125" t="s">
        <v>393</v>
      </c>
      <c r="B125" t="s">
        <v>393</v>
      </c>
      <c r="C125" t="s">
        <v>394</v>
      </c>
      <c r="D125" t="s">
        <v>605</v>
      </c>
      <c r="E125" t="s">
        <v>1736</v>
      </c>
      <c r="F125" t="s">
        <v>394</v>
      </c>
    </row>
    <row r="126" spans="1:6">
      <c r="A126" t="s">
        <v>396</v>
      </c>
      <c r="B126" t="s">
        <v>396</v>
      </c>
      <c r="C126" t="s">
        <v>397</v>
      </c>
      <c r="D126" t="s">
        <v>605</v>
      </c>
      <c r="E126" t="s">
        <v>4029</v>
      </c>
      <c r="F126" t="s">
        <v>1737</v>
      </c>
    </row>
    <row r="127" spans="1:6">
      <c r="A127" t="s">
        <v>399</v>
      </c>
      <c r="B127" t="s">
        <v>399</v>
      </c>
      <c r="C127" t="s">
        <v>400</v>
      </c>
      <c r="D127" t="s">
        <v>605</v>
      </c>
      <c r="E127" t="s">
        <v>4030</v>
      </c>
      <c r="F127" t="s">
        <v>400</v>
      </c>
    </row>
    <row r="128" spans="1:6">
      <c r="A128" t="s">
        <v>402</v>
      </c>
      <c r="B128" t="s">
        <v>402</v>
      </c>
      <c r="C128" t="s">
        <v>403</v>
      </c>
      <c r="D128" t="s">
        <v>605</v>
      </c>
      <c r="E128" t="s">
        <v>4031</v>
      </c>
      <c r="F128" t="s">
        <v>403</v>
      </c>
    </row>
    <row r="129" spans="1:6">
      <c r="A129" t="s">
        <v>405</v>
      </c>
      <c r="B129" t="s">
        <v>405</v>
      </c>
      <c r="C129" t="s">
        <v>406</v>
      </c>
      <c r="D129" t="s">
        <v>605</v>
      </c>
      <c r="E129" t="s">
        <v>4032</v>
      </c>
      <c r="F129" t="s">
        <v>1738</v>
      </c>
    </row>
    <row r="130" spans="1:6">
      <c r="A130" t="s">
        <v>408</v>
      </c>
      <c r="B130" t="s">
        <v>408</v>
      </c>
      <c r="C130" t="s">
        <v>409</v>
      </c>
      <c r="D130" t="s">
        <v>605</v>
      </c>
      <c r="E130" t="s">
        <v>4033</v>
      </c>
      <c r="F130" t="s">
        <v>1739</v>
      </c>
    </row>
    <row r="131" spans="1:6">
      <c r="A131" t="s">
        <v>411</v>
      </c>
      <c r="B131" t="s">
        <v>411</v>
      </c>
      <c r="C131" t="s">
        <v>412</v>
      </c>
      <c r="D131" t="s">
        <v>605</v>
      </c>
      <c r="E131" t="s">
        <v>4034</v>
      </c>
      <c r="F131" t="s">
        <v>3291</v>
      </c>
    </row>
    <row r="132" spans="1:6">
      <c r="A132" t="s">
        <v>414</v>
      </c>
      <c r="B132" t="s">
        <v>414</v>
      </c>
      <c r="C132" t="s">
        <v>415</v>
      </c>
      <c r="D132" t="s">
        <v>606</v>
      </c>
      <c r="E132" t="s">
        <v>1740</v>
      </c>
      <c r="F132" t="s">
        <v>3188</v>
      </c>
    </row>
    <row r="133" spans="1:6">
      <c r="A133" t="s">
        <v>852</v>
      </c>
      <c r="B133" t="s">
        <v>417</v>
      </c>
      <c r="C133" t="s">
        <v>418</v>
      </c>
      <c r="D133" t="s">
        <v>607</v>
      </c>
      <c r="E133" t="s">
        <v>4035</v>
      </c>
      <c r="F133" t="s">
        <v>3286</v>
      </c>
    </row>
    <row r="134" spans="1:6">
      <c r="A134" t="s">
        <v>856</v>
      </c>
      <c r="B134" t="s">
        <v>417</v>
      </c>
      <c r="C134" t="s">
        <v>859</v>
      </c>
      <c r="D134" t="s">
        <v>607</v>
      </c>
      <c r="E134" t="s">
        <v>4036</v>
      </c>
      <c r="F134" t="s">
        <v>859</v>
      </c>
    </row>
    <row r="135" spans="1:6">
      <c r="A135" t="s">
        <v>861</v>
      </c>
      <c r="B135" t="s">
        <v>417</v>
      </c>
      <c r="C135" t="s">
        <v>862</v>
      </c>
      <c r="D135" t="s">
        <v>607</v>
      </c>
      <c r="E135" t="s">
        <v>4037</v>
      </c>
      <c r="F135" t="s">
        <v>862</v>
      </c>
    </row>
    <row r="136" spans="1:6">
      <c r="A136" t="s">
        <v>865</v>
      </c>
      <c r="B136" t="s">
        <v>417</v>
      </c>
      <c r="C136" t="s">
        <v>868</v>
      </c>
      <c r="D136" t="s">
        <v>607</v>
      </c>
      <c r="E136" t="s">
        <v>4038</v>
      </c>
      <c r="F136" t="s">
        <v>868</v>
      </c>
    </row>
    <row r="137" spans="1:6">
      <c r="A137" t="s">
        <v>870</v>
      </c>
      <c r="B137" t="s">
        <v>417</v>
      </c>
      <c r="C137" t="s">
        <v>873</v>
      </c>
      <c r="D137" t="s">
        <v>607</v>
      </c>
      <c r="E137" t="s">
        <v>4039</v>
      </c>
      <c r="F137" t="s">
        <v>873</v>
      </c>
    </row>
    <row r="138" spans="1:6">
      <c r="A138" t="s">
        <v>875</v>
      </c>
      <c r="B138" t="s">
        <v>420</v>
      </c>
      <c r="C138" t="s">
        <v>421</v>
      </c>
      <c r="D138" t="s">
        <v>607</v>
      </c>
      <c r="E138" s="19" t="s">
        <v>4040</v>
      </c>
      <c r="F138" t="s">
        <v>4041</v>
      </c>
    </row>
    <row r="139" spans="1:6">
      <c r="A139" t="s">
        <v>4042</v>
      </c>
      <c r="B139" t="s">
        <v>420</v>
      </c>
      <c r="C139" t="s">
        <v>4043</v>
      </c>
      <c r="D139" t="s">
        <v>607</v>
      </c>
      <c r="E139" s="19" t="s">
        <v>4044</v>
      </c>
      <c r="F139" t="s">
        <v>4043</v>
      </c>
    </row>
    <row r="140" spans="1:6">
      <c r="A140" t="s">
        <v>3931</v>
      </c>
      <c r="B140" t="s">
        <v>423</v>
      </c>
      <c r="C140" t="s">
        <v>424</v>
      </c>
      <c r="D140" t="s">
        <v>607</v>
      </c>
      <c r="E140" t="s">
        <v>4045</v>
      </c>
      <c r="F140" t="s">
        <v>3772</v>
      </c>
    </row>
    <row r="141" spans="1:6">
      <c r="A141" t="s">
        <v>884</v>
      </c>
      <c r="B141" t="s">
        <v>423</v>
      </c>
      <c r="C141" t="s">
        <v>885</v>
      </c>
      <c r="D141" t="s">
        <v>607</v>
      </c>
      <c r="E141" t="s">
        <v>4046</v>
      </c>
      <c r="F141" t="s">
        <v>885</v>
      </c>
    </row>
    <row r="142" spans="1:6">
      <c r="A142" t="s">
        <v>888</v>
      </c>
      <c r="B142" t="s">
        <v>423</v>
      </c>
      <c r="C142" t="s">
        <v>889</v>
      </c>
      <c r="D142" t="s">
        <v>607</v>
      </c>
      <c r="E142" t="s">
        <v>4047</v>
      </c>
      <c r="F142" t="s">
        <v>889</v>
      </c>
    </row>
    <row r="143" spans="1:6">
      <c r="A143" t="s">
        <v>4048</v>
      </c>
      <c r="B143" t="s">
        <v>423</v>
      </c>
      <c r="C143" t="s">
        <v>3822</v>
      </c>
      <c r="D143" t="s">
        <v>607</v>
      </c>
      <c r="E143" t="s">
        <v>4049</v>
      </c>
      <c r="F143" t="s">
        <v>3822</v>
      </c>
    </row>
    <row r="144" spans="1:6">
      <c r="A144" t="s">
        <v>426</v>
      </c>
      <c r="B144" t="s">
        <v>426</v>
      </c>
      <c r="C144" t="s">
        <v>427</v>
      </c>
      <c r="D144" t="s">
        <v>608</v>
      </c>
      <c r="E144" t="s">
        <v>1743</v>
      </c>
      <c r="F144" t="s">
        <v>3194</v>
      </c>
    </row>
    <row r="145" spans="1:6">
      <c r="A145" t="s">
        <v>4050</v>
      </c>
      <c r="B145" t="s">
        <v>429</v>
      </c>
      <c r="C145" t="s">
        <v>430</v>
      </c>
      <c r="D145" t="s">
        <v>609</v>
      </c>
      <c r="E145" t="s">
        <v>4051</v>
      </c>
      <c r="F145" t="s">
        <v>430</v>
      </c>
    </row>
    <row r="146" spans="1:6">
      <c r="A146" t="s">
        <v>892</v>
      </c>
      <c r="B146" t="s">
        <v>429</v>
      </c>
      <c r="C146" t="s">
        <v>4052</v>
      </c>
      <c r="D146" t="s">
        <v>609</v>
      </c>
      <c r="E146" t="s">
        <v>4053</v>
      </c>
      <c r="F146" t="s">
        <v>4052</v>
      </c>
    </row>
    <row r="147" spans="1:6">
      <c r="A147" t="s">
        <v>432</v>
      </c>
      <c r="B147" t="s">
        <v>432</v>
      </c>
      <c r="C147" t="s">
        <v>433</v>
      </c>
      <c r="D147" t="s">
        <v>610</v>
      </c>
      <c r="E147" t="s">
        <v>4054</v>
      </c>
      <c r="F147" t="s">
        <v>3860</v>
      </c>
    </row>
    <row r="148" spans="1:6">
      <c r="A148" t="s">
        <v>435</v>
      </c>
      <c r="B148" t="s">
        <v>435</v>
      </c>
      <c r="C148" t="s">
        <v>436</v>
      </c>
      <c r="D148" t="s">
        <v>611</v>
      </c>
      <c r="E148" t="s">
        <v>4055</v>
      </c>
      <c r="F148" t="s">
        <v>3198</v>
      </c>
    </row>
    <row r="149" spans="1:6">
      <c r="A149" t="s">
        <v>438</v>
      </c>
      <c r="B149" t="s">
        <v>438</v>
      </c>
      <c r="C149" t="s">
        <v>439</v>
      </c>
      <c r="D149" t="s">
        <v>612</v>
      </c>
      <c r="E149" t="s">
        <v>4056</v>
      </c>
      <c r="F149" t="s">
        <v>3199</v>
      </c>
    </row>
    <row r="150" spans="1:6">
      <c r="A150" t="s">
        <v>441</v>
      </c>
      <c r="B150" t="s">
        <v>441</v>
      </c>
      <c r="C150" t="s">
        <v>442</v>
      </c>
      <c r="D150" t="s">
        <v>613</v>
      </c>
      <c r="E150" t="s">
        <v>4057</v>
      </c>
      <c r="F150" t="s">
        <v>3200</v>
      </c>
    </row>
    <row r="151" spans="1:6">
      <c r="A151" t="s">
        <v>444</v>
      </c>
      <c r="B151" t="s">
        <v>444</v>
      </c>
      <c r="C151" t="s">
        <v>445</v>
      </c>
      <c r="D151" t="s">
        <v>614</v>
      </c>
      <c r="E151" t="s">
        <v>4058</v>
      </c>
      <c r="F151" t="s">
        <v>3202</v>
      </c>
    </row>
    <row r="152" spans="1:6">
      <c r="A152" t="s">
        <v>447</v>
      </c>
      <c r="B152" t="s">
        <v>447</v>
      </c>
      <c r="C152" t="s">
        <v>448</v>
      </c>
      <c r="D152" t="s">
        <v>615</v>
      </c>
      <c r="E152" t="s">
        <v>4059</v>
      </c>
      <c r="F152" t="s">
        <v>3203</v>
      </c>
    </row>
    <row r="153" spans="1:6">
      <c r="A153" t="s">
        <v>450</v>
      </c>
      <c r="B153" t="s">
        <v>450</v>
      </c>
      <c r="C153" t="s">
        <v>451</v>
      </c>
      <c r="D153" t="s">
        <v>616</v>
      </c>
      <c r="E153" t="s">
        <v>4060</v>
      </c>
      <c r="F153" t="s">
        <v>3204</v>
      </c>
    </row>
    <row r="154" spans="1:6">
      <c r="A154" t="s">
        <v>453</v>
      </c>
      <c r="B154" t="s">
        <v>453</v>
      </c>
      <c r="C154" t="s">
        <v>454</v>
      </c>
      <c r="D154" t="s">
        <v>617</v>
      </c>
      <c r="E154" t="s">
        <v>4061</v>
      </c>
      <c r="F154" t="s">
        <v>3205</v>
      </c>
    </row>
    <row r="155" spans="1:6">
      <c r="A155" t="s">
        <v>456</v>
      </c>
      <c r="B155" t="s">
        <v>456</v>
      </c>
      <c r="C155" t="s">
        <v>457</v>
      </c>
      <c r="D155" t="s">
        <v>618</v>
      </c>
      <c r="E155" t="s">
        <v>4062</v>
      </c>
      <c r="F155" t="s">
        <v>3206</v>
      </c>
    </row>
    <row r="156" spans="1:6">
      <c r="A156" t="s">
        <v>459</v>
      </c>
      <c r="B156" t="s">
        <v>459</v>
      </c>
      <c r="C156" t="s">
        <v>460</v>
      </c>
      <c r="D156" t="s">
        <v>619</v>
      </c>
      <c r="E156" t="s">
        <v>4063</v>
      </c>
      <c r="F156" t="s">
        <v>3912</v>
      </c>
    </row>
    <row r="157" spans="1:6">
      <c r="A157" t="s">
        <v>462</v>
      </c>
      <c r="B157" t="s">
        <v>462</v>
      </c>
      <c r="C157" t="s">
        <v>463</v>
      </c>
      <c r="D157" t="s">
        <v>620</v>
      </c>
      <c r="E157" t="s">
        <v>4064</v>
      </c>
      <c r="F157" t="s">
        <v>3209</v>
      </c>
    </row>
    <row r="158" spans="1:6">
      <c r="A158" t="s">
        <v>465</v>
      </c>
      <c r="B158" t="s">
        <v>465</v>
      </c>
      <c r="C158" t="s">
        <v>466</v>
      </c>
      <c r="D158" t="s">
        <v>621</v>
      </c>
      <c r="E158" t="s">
        <v>4065</v>
      </c>
      <c r="F158" t="s">
        <v>3210</v>
      </c>
    </row>
    <row r="159" spans="1:6">
      <c r="A159" t="s">
        <v>468</v>
      </c>
      <c r="B159" t="s">
        <v>468</v>
      </c>
      <c r="C159" t="s">
        <v>469</v>
      </c>
      <c r="D159" t="s">
        <v>622</v>
      </c>
      <c r="E159" t="s">
        <v>4066</v>
      </c>
      <c r="F159" t="s">
        <v>3211</v>
      </c>
    </row>
    <row r="160" spans="1:6">
      <c r="A160" t="s">
        <v>471</v>
      </c>
      <c r="B160" t="s">
        <v>471</v>
      </c>
      <c r="C160" t="s">
        <v>472</v>
      </c>
      <c r="D160" t="s">
        <v>623</v>
      </c>
      <c r="E160" t="s">
        <v>4067</v>
      </c>
      <c r="F160" t="s">
        <v>3315</v>
      </c>
    </row>
    <row r="161" spans="1:6">
      <c r="A161" t="s">
        <v>474</v>
      </c>
      <c r="B161" t="s">
        <v>474</v>
      </c>
      <c r="C161" t="s">
        <v>475</v>
      </c>
      <c r="D161" t="s">
        <v>624</v>
      </c>
      <c r="E161" t="s">
        <v>4068</v>
      </c>
      <c r="F161" t="s">
        <v>3214</v>
      </c>
    </row>
    <row r="162" spans="1:6">
      <c r="A162" t="s">
        <v>477</v>
      </c>
      <c r="B162" t="s">
        <v>477</v>
      </c>
      <c r="C162" t="s">
        <v>478</v>
      </c>
      <c r="D162" t="s">
        <v>625</v>
      </c>
      <c r="E162" t="s">
        <v>4069</v>
      </c>
      <c r="F162" t="s">
        <v>3215</v>
      </c>
    </row>
    <row r="163" spans="1:6">
      <c r="A163" t="s">
        <v>480</v>
      </c>
      <c r="B163" t="s">
        <v>480</v>
      </c>
      <c r="C163" t="s">
        <v>481</v>
      </c>
      <c r="D163" t="s">
        <v>626</v>
      </c>
      <c r="E163" t="s">
        <v>4070</v>
      </c>
      <c r="F163" t="s">
        <v>3216</v>
      </c>
    </row>
    <row r="164" spans="1:6">
      <c r="A164" t="s">
        <v>483</v>
      </c>
      <c r="B164" t="s">
        <v>483</v>
      </c>
      <c r="C164" t="s">
        <v>484</v>
      </c>
      <c r="D164" t="s">
        <v>627</v>
      </c>
      <c r="E164" t="s">
        <v>4071</v>
      </c>
      <c r="F164" t="s">
        <v>3913</v>
      </c>
    </row>
    <row r="165" spans="1:6">
      <c r="A165" t="s">
        <v>486</v>
      </c>
      <c r="B165" t="s">
        <v>486</v>
      </c>
      <c r="C165" t="s">
        <v>487</v>
      </c>
      <c r="D165" t="s">
        <v>628</v>
      </c>
      <c r="E165" t="s">
        <v>4072</v>
      </c>
      <c r="F165" t="s">
        <v>3914</v>
      </c>
    </row>
    <row r="166" spans="1:6">
      <c r="A166" t="s">
        <v>489</v>
      </c>
      <c r="B166" t="s">
        <v>489</v>
      </c>
      <c r="C166" t="s">
        <v>490</v>
      </c>
      <c r="D166" t="s">
        <v>629</v>
      </c>
      <c r="E166" s="19" t="s">
        <v>4073</v>
      </c>
      <c r="F166" t="s">
        <v>3220</v>
      </c>
    </row>
    <row r="167" spans="1:6">
      <c r="A167" t="s">
        <v>492</v>
      </c>
      <c r="B167" t="s">
        <v>492</v>
      </c>
      <c r="C167" t="s">
        <v>493</v>
      </c>
      <c r="D167" t="s">
        <v>630</v>
      </c>
      <c r="E167" s="19" t="s">
        <v>4074</v>
      </c>
      <c r="F167" t="s">
        <v>3150</v>
      </c>
    </row>
    <row r="168" spans="1:6">
      <c r="A168" t="s">
        <v>495</v>
      </c>
      <c r="B168" t="s">
        <v>495</v>
      </c>
      <c r="C168" t="s">
        <v>496</v>
      </c>
      <c r="D168" t="s">
        <v>631</v>
      </c>
      <c r="E168" s="19" t="s">
        <v>4075</v>
      </c>
      <c r="F168" t="s">
        <v>3221</v>
      </c>
    </row>
    <row r="169" spans="1:6">
      <c r="A169" t="s">
        <v>498</v>
      </c>
      <c r="B169" t="s">
        <v>498</v>
      </c>
      <c r="C169" t="s">
        <v>499</v>
      </c>
      <c r="D169" t="s">
        <v>632</v>
      </c>
      <c r="E169" t="s">
        <v>4076</v>
      </c>
      <c r="F169" t="s">
        <v>3292</v>
      </c>
    </row>
    <row r="170" spans="1:6">
      <c r="A170" t="s">
        <v>501</v>
      </c>
      <c r="B170" t="s">
        <v>501</v>
      </c>
      <c r="C170" t="s">
        <v>502</v>
      </c>
      <c r="D170" t="s">
        <v>633</v>
      </c>
      <c r="E170" s="19" t="s">
        <v>4077</v>
      </c>
      <c r="F170" t="s">
        <v>3224</v>
      </c>
    </row>
    <row r="171" spans="1:6">
      <c r="A171" t="s">
        <v>504</v>
      </c>
      <c r="B171" t="s">
        <v>504</v>
      </c>
      <c r="C171" t="s">
        <v>505</v>
      </c>
      <c r="D171" t="s">
        <v>634</v>
      </c>
      <c r="E171" s="19" t="s">
        <v>4078</v>
      </c>
      <c r="F171" t="s">
        <v>505</v>
      </c>
    </row>
    <row r="172" spans="1:6">
      <c r="A172" t="s">
        <v>507</v>
      </c>
      <c r="B172" t="s">
        <v>507</v>
      </c>
      <c r="C172" t="s">
        <v>508</v>
      </c>
      <c r="D172" t="s">
        <v>635</v>
      </c>
      <c r="E172" s="19" t="s">
        <v>4079</v>
      </c>
      <c r="F172" t="s">
        <v>3225</v>
      </c>
    </row>
    <row r="173" spans="1:6">
      <c r="A173" t="s">
        <v>510</v>
      </c>
      <c r="B173" t="s">
        <v>510</v>
      </c>
      <c r="C173" t="s">
        <v>511</v>
      </c>
      <c r="D173" t="s">
        <v>636</v>
      </c>
      <c r="E173" t="s">
        <v>4080</v>
      </c>
      <c r="F173" t="s">
        <v>3226</v>
      </c>
    </row>
    <row r="174" spans="1:6">
      <c r="A174" t="s">
        <v>513</v>
      </c>
      <c r="B174" t="s">
        <v>513</v>
      </c>
      <c r="C174" t="s">
        <v>515</v>
      </c>
      <c r="D174" t="s">
        <v>637</v>
      </c>
      <c r="E174" s="19" t="s">
        <v>4081</v>
      </c>
      <c r="F174" t="s">
        <v>3227</v>
      </c>
    </row>
    <row r="175" spans="1:6">
      <c r="A175" t="s">
        <v>517</v>
      </c>
      <c r="B175" t="s">
        <v>517</v>
      </c>
      <c r="C175" t="s">
        <v>518</v>
      </c>
      <c r="D175" t="s">
        <v>638</v>
      </c>
      <c r="E175" s="19" t="s">
        <v>4082</v>
      </c>
      <c r="F175" t="s">
        <v>3228</v>
      </c>
    </row>
    <row r="176" spans="1:6">
      <c r="A176" t="s">
        <v>520</v>
      </c>
      <c r="B176" t="s">
        <v>520</v>
      </c>
      <c r="C176" t="s">
        <v>521</v>
      </c>
      <c r="D176" t="s">
        <v>639</v>
      </c>
      <c r="E176" s="19" t="s">
        <v>4083</v>
      </c>
      <c r="F176" t="s">
        <v>3230</v>
      </c>
    </row>
    <row r="177" spans="1:6">
      <c r="A177" t="s">
        <v>523</v>
      </c>
      <c r="B177" t="s">
        <v>523</v>
      </c>
      <c r="C177" t="s">
        <v>524</v>
      </c>
      <c r="D177" t="s">
        <v>640</v>
      </c>
      <c r="E177" t="s">
        <v>4084</v>
      </c>
      <c r="F177" t="s">
        <v>3915</v>
      </c>
    </row>
    <row r="178" spans="1:6">
      <c r="A178" t="s">
        <v>526</v>
      </c>
      <c r="B178" t="s">
        <v>526</v>
      </c>
      <c r="C178" t="s">
        <v>527</v>
      </c>
      <c r="D178" t="s">
        <v>641</v>
      </c>
      <c r="E178" t="s">
        <v>4085</v>
      </c>
      <c r="F178" t="s">
        <v>3317</v>
      </c>
    </row>
    <row r="179" spans="1:6">
      <c r="A179" t="s">
        <v>529</v>
      </c>
      <c r="B179" t="s">
        <v>529</v>
      </c>
      <c r="C179" t="s">
        <v>530</v>
      </c>
      <c r="D179" t="s">
        <v>642</v>
      </c>
      <c r="E179" s="19" t="s">
        <v>4086</v>
      </c>
      <c r="F179" t="s">
        <v>3234</v>
      </c>
    </row>
    <row r="180" spans="1:6">
      <c r="A180" t="s">
        <v>532</v>
      </c>
      <c r="B180" t="s">
        <v>532</v>
      </c>
      <c r="C180" t="s">
        <v>533</v>
      </c>
      <c r="D180" t="s">
        <v>643</v>
      </c>
      <c r="E180" s="19" t="s">
        <v>4087</v>
      </c>
      <c r="F180" t="s">
        <v>3236</v>
      </c>
    </row>
    <row r="181" spans="1:6">
      <c r="A181" t="s">
        <v>535</v>
      </c>
      <c r="B181" t="s">
        <v>535</v>
      </c>
      <c r="C181" t="s">
        <v>536</v>
      </c>
      <c r="D181" t="s">
        <v>644</v>
      </c>
      <c r="E181" s="19" t="s">
        <v>4088</v>
      </c>
      <c r="F181" t="s">
        <v>3237</v>
      </c>
    </row>
    <row r="182" spans="1:6">
      <c r="A182" t="s">
        <v>645</v>
      </c>
      <c r="B182" t="s">
        <v>645</v>
      </c>
      <c r="C182" t="s">
        <v>539</v>
      </c>
      <c r="D182" t="s">
        <v>646</v>
      </c>
      <c r="E182" s="19" t="s">
        <v>4089</v>
      </c>
      <c r="F182" t="s">
        <v>3151</v>
      </c>
    </row>
    <row r="183" spans="1:6">
      <c r="A183" t="s">
        <v>541</v>
      </c>
      <c r="B183" t="s">
        <v>541</v>
      </c>
      <c r="C183" t="s">
        <v>542</v>
      </c>
      <c r="D183" t="s">
        <v>647</v>
      </c>
      <c r="E183" t="s">
        <v>4090</v>
      </c>
      <c r="F183" t="s">
        <v>3916</v>
      </c>
    </row>
    <row r="184" spans="1:6">
      <c r="A184" t="s">
        <v>648</v>
      </c>
      <c r="B184" t="s">
        <v>648</v>
      </c>
      <c r="C184" t="s">
        <v>650</v>
      </c>
      <c r="D184" t="s">
        <v>649</v>
      </c>
      <c r="E184" s="19" t="s">
        <v>4091</v>
      </c>
      <c r="F184" t="s">
        <v>650</v>
      </c>
    </row>
  </sheetData>
  <phoneticPr fontId="9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53"/>
  <sheetViews>
    <sheetView zoomScaleNormal="100" workbookViewId="0">
      <pane ySplit="2" topLeftCell="A186" activePane="bottomLeft" state="frozen"/>
      <selection pane="bottomLeft" activeCell="G203" sqref="G203"/>
    </sheetView>
  </sheetViews>
  <sheetFormatPr defaultColWidth="9.109375" defaultRowHeight="14.4"/>
  <cols>
    <col min="1" max="2" width="9.109375" style="6"/>
    <col min="3" max="3" width="21" style="6" customWidth="1"/>
    <col min="4" max="4" width="12.5546875" style="6" customWidth="1"/>
    <col min="5" max="5" width="13.5546875" style="6" customWidth="1"/>
    <col min="6" max="6" width="24.77734375" style="6" customWidth="1"/>
    <col min="7" max="7" width="21" style="6" customWidth="1"/>
    <col min="8" max="8" width="21.77734375" style="6" customWidth="1"/>
    <col min="9" max="9" width="7.6640625" style="6" customWidth="1"/>
    <col min="10" max="10" width="6.44140625" style="6" customWidth="1"/>
    <col min="11" max="11" width="12" style="6" customWidth="1"/>
    <col min="12" max="12" width="7.88671875" style="6" customWidth="1"/>
    <col min="13" max="13" width="11.109375" style="6" customWidth="1"/>
    <col min="14" max="16" width="10.88671875" style="6" customWidth="1"/>
    <col min="17" max="17" width="12.6640625" style="6" customWidth="1"/>
    <col min="18" max="18" width="10.88671875" style="6" customWidth="1"/>
    <col min="19" max="16384" width="9.109375" style="6"/>
  </cols>
  <sheetData>
    <row r="1" spans="1:18">
      <c r="A1" s="6" t="s">
        <v>1752</v>
      </c>
    </row>
    <row r="2" spans="1:18">
      <c r="A2" s="2" t="s">
        <v>1753</v>
      </c>
      <c r="B2" s="2" t="s">
        <v>1754</v>
      </c>
      <c r="C2" s="2" t="s">
        <v>1755</v>
      </c>
      <c r="D2" s="2" t="s">
        <v>1756</v>
      </c>
      <c r="E2" s="2" t="s">
        <v>1757</v>
      </c>
      <c r="F2" s="2" t="s">
        <v>1758</v>
      </c>
      <c r="G2" s="2" t="s">
        <v>4332</v>
      </c>
      <c r="H2" s="2" t="s">
        <v>1759</v>
      </c>
      <c r="I2" s="2" t="s">
        <v>1760</v>
      </c>
      <c r="J2" s="2" t="s">
        <v>1761</v>
      </c>
      <c r="K2" s="2" t="s">
        <v>1660</v>
      </c>
      <c r="L2" s="2" t="s">
        <v>1762</v>
      </c>
      <c r="M2" s="2" t="s">
        <v>1763</v>
      </c>
      <c r="N2" s="2" t="s">
        <v>1764</v>
      </c>
      <c r="O2" s="2" t="s">
        <v>1765</v>
      </c>
      <c r="P2" s="2" t="s">
        <v>1766</v>
      </c>
      <c r="Q2" s="2" t="s">
        <v>1767</v>
      </c>
      <c r="R2" s="2" t="s">
        <v>1768</v>
      </c>
    </row>
    <row r="3" spans="1:18">
      <c r="A3" s="6" t="s">
        <v>557</v>
      </c>
      <c r="B3" s="6" t="s">
        <v>557</v>
      </c>
      <c r="C3" s="6" t="s">
        <v>1769</v>
      </c>
      <c r="D3" s="6" t="s">
        <v>557</v>
      </c>
      <c r="E3" s="6" t="s">
        <v>557</v>
      </c>
      <c r="F3" s="6" t="s">
        <v>1769</v>
      </c>
      <c r="G3" s="6" t="s">
        <v>1769</v>
      </c>
      <c r="H3" s="6" t="s">
        <v>557</v>
      </c>
      <c r="I3" s="6" t="s">
        <v>557</v>
      </c>
      <c r="J3" s="6" t="s">
        <v>557</v>
      </c>
      <c r="K3" s="7">
        <v>41</v>
      </c>
      <c r="L3" s="6" t="s">
        <v>557</v>
      </c>
      <c r="M3" s="6" t="s">
        <v>557</v>
      </c>
      <c r="N3" s="6" t="s">
        <v>557</v>
      </c>
      <c r="O3" s="6" t="s">
        <v>557</v>
      </c>
      <c r="P3" s="6" t="s">
        <v>557</v>
      </c>
    </row>
    <row r="4" spans="1:18">
      <c r="A4" s="6" t="s">
        <v>557</v>
      </c>
      <c r="B4" s="6" t="s">
        <v>557</v>
      </c>
      <c r="C4" s="6" t="s">
        <v>1770</v>
      </c>
      <c r="D4" s="6" t="s">
        <v>557</v>
      </c>
      <c r="E4" s="6" t="s">
        <v>557</v>
      </c>
      <c r="F4" s="6" t="s">
        <v>1770</v>
      </c>
      <c r="G4" s="6" t="s">
        <v>1770</v>
      </c>
      <c r="H4" s="6" t="s">
        <v>557</v>
      </c>
      <c r="I4" s="6" t="s">
        <v>557</v>
      </c>
      <c r="J4" s="6" t="s">
        <v>557</v>
      </c>
      <c r="K4" s="7">
        <v>62</v>
      </c>
      <c r="L4" s="6" t="s">
        <v>557</v>
      </c>
      <c r="M4" s="6" t="s">
        <v>557</v>
      </c>
      <c r="N4" s="6" t="s">
        <v>557</v>
      </c>
      <c r="O4" s="6" t="s">
        <v>557</v>
      </c>
      <c r="P4" s="6" t="s">
        <v>557</v>
      </c>
    </row>
    <row r="5" spans="1:18">
      <c r="A5" s="6" t="s">
        <v>557</v>
      </c>
      <c r="B5" s="6" t="s">
        <v>557</v>
      </c>
      <c r="C5" s="6" t="s">
        <v>1771</v>
      </c>
      <c r="D5" s="6" t="s">
        <v>557</v>
      </c>
      <c r="E5" s="6" t="s">
        <v>557</v>
      </c>
      <c r="F5" s="6" t="s">
        <v>1771</v>
      </c>
      <c r="G5" s="6" t="s">
        <v>1771</v>
      </c>
      <c r="H5" s="6" t="s">
        <v>557</v>
      </c>
      <c r="I5" s="6" t="s">
        <v>557</v>
      </c>
      <c r="J5" s="6" t="s">
        <v>557</v>
      </c>
      <c r="K5" s="7">
        <v>5100</v>
      </c>
      <c r="L5" s="6" t="s">
        <v>557</v>
      </c>
      <c r="M5" s="6" t="s">
        <v>557</v>
      </c>
      <c r="N5" s="6" t="s">
        <v>557</v>
      </c>
      <c r="O5" s="6" t="s">
        <v>557</v>
      </c>
      <c r="P5" s="6" t="s">
        <v>557</v>
      </c>
    </row>
    <row r="6" spans="1:18">
      <c r="A6" s="6" t="s">
        <v>557</v>
      </c>
      <c r="B6" s="6" t="s">
        <v>557</v>
      </c>
      <c r="C6" s="6" t="s">
        <v>1772</v>
      </c>
      <c r="D6" s="6" t="s">
        <v>557</v>
      </c>
      <c r="E6" s="6" t="s">
        <v>557</v>
      </c>
      <c r="F6" s="6" t="s">
        <v>1772</v>
      </c>
      <c r="G6" s="6" t="s">
        <v>1772</v>
      </c>
      <c r="H6" s="6" t="s">
        <v>557</v>
      </c>
      <c r="I6" s="6" t="s">
        <v>557</v>
      </c>
      <c r="J6" s="6" t="s">
        <v>557</v>
      </c>
      <c r="K6" s="7">
        <v>5101</v>
      </c>
      <c r="L6" s="6" t="s">
        <v>557</v>
      </c>
      <c r="M6" s="6" t="s">
        <v>557</v>
      </c>
      <c r="N6" s="6" t="s">
        <v>557</v>
      </c>
      <c r="O6" s="6" t="s">
        <v>557</v>
      </c>
      <c r="P6" s="6" t="s">
        <v>557</v>
      </c>
    </row>
    <row r="7" spans="1:18">
      <c r="A7" s="6" t="s">
        <v>557</v>
      </c>
      <c r="B7" s="6" t="s">
        <v>557</v>
      </c>
      <c r="C7" s="6" t="s">
        <v>1773</v>
      </c>
      <c r="D7" s="6" t="s">
        <v>557</v>
      </c>
      <c r="E7" s="6" t="s">
        <v>557</v>
      </c>
      <c r="F7" s="6" t="s">
        <v>1773</v>
      </c>
      <c r="G7" s="6" t="s">
        <v>1773</v>
      </c>
      <c r="H7" s="6" t="s">
        <v>557</v>
      </c>
      <c r="I7" s="6" t="s">
        <v>557</v>
      </c>
      <c r="J7" s="6" t="s">
        <v>557</v>
      </c>
      <c r="K7" s="7">
        <v>5102</v>
      </c>
      <c r="L7" s="6" t="s">
        <v>557</v>
      </c>
      <c r="M7" s="6" t="s">
        <v>557</v>
      </c>
      <c r="N7" s="6" t="s">
        <v>557</v>
      </c>
      <c r="O7" s="6" t="s">
        <v>557</v>
      </c>
      <c r="P7" s="6" t="s">
        <v>557</v>
      </c>
    </row>
    <row r="8" spans="1:18">
      <c r="A8" s="6" t="s">
        <v>557</v>
      </c>
      <c r="B8" s="6" t="s">
        <v>557</v>
      </c>
      <c r="C8" s="6" t="s">
        <v>1774</v>
      </c>
      <c r="D8" s="6" t="s">
        <v>557</v>
      </c>
      <c r="E8" s="6" t="s">
        <v>557</v>
      </c>
      <c r="F8" s="6" t="s">
        <v>1774</v>
      </c>
      <c r="G8" s="6" t="s">
        <v>1774</v>
      </c>
      <c r="H8" s="6" t="s">
        <v>557</v>
      </c>
      <c r="I8" s="6" t="s">
        <v>557</v>
      </c>
      <c r="J8" s="6" t="s">
        <v>557</v>
      </c>
      <c r="K8" s="7">
        <v>5103</v>
      </c>
      <c r="L8" s="6" t="s">
        <v>557</v>
      </c>
      <c r="M8" s="6" t="s">
        <v>557</v>
      </c>
      <c r="N8" s="6" t="s">
        <v>557</v>
      </c>
      <c r="O8" s="6" t="s">
        <v>557</v>
      </c>
      <c r="P8" s="6" t="s">
        <v>557</v>
      </c>
    </row>
    <row r="9" spans="1:18">
      <c r="A9" s="6" t="s">
        <v>557</v>
      </c>
      <c r="B9" s="6" t="s">
        <v>557</v>
      </c>
      <c r="C9" s="6" t="s">
        <v>1775</v>
      </c>
      <c r="D9" s="6" t="s">
        <v>557</v>
      </c>
      <c r="E9" s="6" t="s">
        <v>557</v>
      </c>
      <c r="F9" s="6" t="s">
        <v>1775</v>
      </c>
      <c r="G9" s="6" t="s">
        <v>1775</v>
      </c>
      <c r="H9" s="6" t="s">
        <v>557</v>
      </c>
      <c r="I9" s="6" t="s">
        <v>557</v>
      </c>
      <c r="J9" s="6" t="s">
        <v>557</v>
      </c>
      <c r="K9" s="7">
        <v>5104</v>
      </c>
      <c r="L9" s="6" t="s">
        <v>557</v>
      </c>
      <c r="M9" s="6" t="s">
        <v>557</v>
      </c>
      <c r="N9" s="6" t="s">
        <v>557</v>
      </c>
      <c r="O9" s="6" t="s">
        <v>557</v>
      </c>
      <c r="P9" s="6" t="s">
        <v>557</v>
      </c>
    </row>
    <row r="10" spans="1:18">
      <c r="A10" s="6" t="s">
        <v>557</v>
      </c>
      <c r="B10" s="6" t="s">
        <v>557</v>
      </c>
      <c r="C10" s="6" t="s">
        <v>1776</v>
      </c>
      <c r="D10" s="6" t="s">
        <v>557</v>
      </c>
      <c r="E10" s="6" t="s">
        <v>557</v>
      </c>
      <c r="F10" s="6" t="s">
        <v>1776</v>
      </c>
      <c r="G10" s="6" t="s">
        <v>1776</v>
      </c>
      <c r="H10" s="6" t="s">
        <v>557</v>
      </c>
      <c r="I10" s="6" t="s">
        <v>557</v>
      </c>
      <c r="J10" s="6" t="s">
        <v>557</v>
      </c>
      <c r="K10" s="7">
        <v>5105</v>
      </c>
      <c r="L10" s="6" t="s">
        <v>557</v>
      </c>
      <c r="M10" s="6" t="s">
        <v>557</v>
      </c>
      <c r="N10" s="6" t="s">
        <v>557</v>
      </c>
      <c r="O10" s="6" t="s">
        <v>557</v>
      </c>
      <c r="P10" s="6" t="s">
        <v>557</v>
      </c>
    </row>
    <row r="11" spans="1:18">
      <c r="A11" s="6" t="s">
        <v>557</v>
      </c>
      <c r="B11" s="6" t="s">
        <v>557</v>
      </c>
      <c r="C11" s="6" t="s">
        <v>1777</v>
      </c>
      <c r="D11" s="6" t="s">
        <v>557</v>
      </c>
      <c r="E11" s="6" t="s">
        <v>557</v>
      </c>
      <c r="F11" s="6" t="s">
        <v>1777</v>
      </c>
      <c r="G11" s="6" t="s">
        <v>1777</v>
      </c>
      <c r="H11" s="6" t="s">
        <v>557</v>
      </c>
      <c r="I11" s="6" t="s">
        <v>557</v>
      </c>
      <c r="J11" s="6" t="s">
        <v>557</v>
      </c>
      <c r="K11" s="7">
        <v>5200</v>
      </c>
      <c r="L11" s="6" t="s">
        <v>557</v>
      </c>
      <c r="M11" s="6" t="s">
        <v>557</v>
      </c>
      <c r="N11" s="6" t="s">
        <v>557</v>
      </c>
      <c r="O11" s="6" t="s">
        <v>557</v>
      </c>
      <c r="P11" s="6" t="s">
        <v>557</v>
      </c>
    </row>
    <row r="12" spans="1:18">
      <c r="A12" s="6" t="s">
        <v>557</v>
      </c>
      <c r="B12" s="6" t="s">
        <v>557</v>
      </c>
      <c r="C12" s="6" t="s">
        <v>1778</v>
      </c>
      <c r="D12" s="6" t="s">
        <v>557</v>
      </c>
      <c r="E12" s="6" t="s">
        <v>557</v>
      </c>
      <c r="F12" s="6" t="s">
        <v>1778</v>
      </c>
      <c r="G12" s="6" t="s">
        <v>1778</v>
      </c>
      <c r="H12" s="6" t="s">
        <v>557</v>
      </c>
      <c r="I12" s="6" t="s">
        <v>557</v>
      </c>
      <c r="J12" s="6" t="s">
        <v>557</v>
      </c>
      <c r="K12" s="7">
        <v>5203</v>
      </c>
      <c r="L12" s="6" t="s">
        <v>557</v>
      </c>
      <c r="M12" s="6" t="s">
        <v>557</v>
      </c>
      <c r="N12" s="6" t="s">
        <v>557</v>
      </c>
      <c r="O12" s="6" t="s">
        <v>557</v>
      </c>
      <c r="P12" s="6" t="s">
        <v>557</v>
      </c>
    </row>
    <row r="13" spans="1:18">
      <c r="A13" s="6" t="s">
        <v>557</v>
      </c>
      <c r="B13" s="6" t="s">
        <v>557</v>
      </c>
      <c r="C13" s="6" t="s">
        <v>1779</v>
      </c>
      <c r="D13" s="6" t="s">
        <v>557</v>
      </c>
      <c r="E13" s="6" t="s">
        <v>557</v>
      </c>
      <c r="F13" s="6" t="s">
        <v>1779</v>
      </c>
      <c r="G13" s="6" t="s">
        <v>1779</v>
      </c>
      <c r="H13" s="6" t="s">
        <v>557</v>
      </c>
      <c r="I13" s="6" t="s">
        <v>557</v>
      </c>
      <c r="J13" s="6" t="s">
        <v>557</v>
      </c>
      <c r="K13" s="7">
        <v>5204</v>
      </c>
      <c r="L13" s="6" t="s">
        <v>557</v>
      </c>
      <c r="M13" s="6" t="s">
        <v>557</v>
      </c>
      <c r="N13" s="6" t="s">
        <v>557</v>
      </c>
      <c r="O13" s="6" t="s">
        <v>557</v>
      </c>
      <c r="P13" s="6" t="s">
        <v>557</v>
      </c>
    </row>
    <row r="14" spans="1:18">
      <c r="A14" s="6" t="s">
        <v>557</v>
      </c>
      <c r="B14" s="6" t="s">
        <v>557</v>
      </c>
      <c r="C14" s="6" t="s">
        <v>1780</v>
      </c>
      <c r="D14" s="6" t="s">
        <v>557</v>
      </c>
      <c r="E14" s="6" t="s">
        <v>557</v>
      </c>
      <c r="F14" s="6" t="s">
        <v>1780</v>
      </c>
      <c r="G14" s="6" t="s">
        <v>1780</v>
      </c>
      <c r="H14" s="6" t="s">
        <v>557</v>
      </c>
      <c r="I14" s="6" t="s">
        <v>557</v>
      </c>
      <c r="J14" s="6" t="s">
        <v>557</v>
      </c>
      <c r="K14" s="7">
        <v>5206</v>
      </c>
      <c r="L14" s="6" t="s">
        <v>557</v>
      </c>
      <c r="M14" s="6" t="s">
        <v>557</v>
      </c>
      <c r="N14" s="6" t="s">
        <v>557</v>
      </c>
      <c r="O14" s="6" t="s">
        <v>557</v>
      </c>
      <c r="P14" s="6" t="s">
        <v>557</v>
      </c>
    </row>
    <row r="15" spans="1:18">
      <c r="A15" s="6" t="s">
        <v>557</v>
      </c>
      <c r="B15" s="6" t="s">
        <v>557</v>
      </c>
      <c r="C15" s="6" t="s">
        <v>1781</v>
      </c>
      <c r="D15" s="6" t="s">
        <v>557</v>
      </c>
      <c r="E15" s="6" t="s">
        <v>557</v>
      </c>
      <c r="F15" s="6" t="s">
        <v>1781</v>
      </c>
      <c r="G15" s="6" t="s">
        <v>1781</v>
      </c>
      <c r="H15" s="6" t="s">
        <v>557</v>
      </c>
      <c r="I15" s="6" t="s">
        <v>557</v>
      </c>
      <c r="J15" s="6" t="s">
        <v>557</v>
      </c>
      <c r="K15" s="7">
        <v>5207</v>
      </c>
      <c r="L15" s="6" t="s">
        <v>557</v>
      </c>
      <c r="M15" s="6" t="s">
        <v>557</v>
      </c>
      <c r="N15" s="6" t="s">
        <v>557</v>
      </c>
      <c r="O15" s="6" t="s">
        <v>557</v>
      </c>
      <c r="P15" s="6" t="s">
        <v>557</v>
      </c>
    </row>
    <row r="16" spans="1:18">
      <c r="A16" s="6" t="s">
        <v>557</v>
      </c>
      <c r="B16" s="6" t="s">
        <v>557</v>
      </c>
      <c r="C16" s="6" t="s">
        <v>1782</v>
      </c>
      <c r="D16" s="6" t="s">
        <v>557</v>
      </c>
      <c r="E16" s="6" t="s">
        <v>557</v>
      </c>
      <c r="F16" s="6" t="s">
        <v>1782</v>
      </c>
      <c r="G16" s="6" t="s">
        <v>1782</v>
      </c>
      <c r="H16" s="6" t="s">
        <v>557</v>
      </c>
      <c r="I16" s="6" t="s">
        <v>557</v>
      </c>
      <c r="J16" s="6" t="s">
        <v>557</v>
      </c>
      <c r="K16" s="7">
        <v>5300</v>
      </c>
      <c r="L16" s="6" t="s">
        <v>557</v>
      </c>
      <c r="M16" s="6" t="s">
        <v>557</v>
      </c>
      <c r="N16" s="6" t="s">
        <v>557</v>
      </c>
      <c r="O16" s="6" t="s">
        <v>557</v>
      </c>
      <c r="P16" s="6" t="s">
        <v>557</v>
      </c>
    </row>
    <row r="17" spans="1:16">
      <c r="A17" s="6" t="s">
        <v>557</v>
      </c>
      <c r="B17" s="6" t="s">
        <v>557</v>
      </c>
      <c r="C17" s="6" t="s">
        <v>1783</v>
      </c>
      <c r="D17" s="6" t="s">
        <v>557</v>
      </c>
      <c r="E17" s="6" t="s">
        <v>557</v>
      </c>
      <c r="F17" s="6" t="s">
        <v>1783</v>
      </c>
      <c r="G17" s="6" t="s">
        <v>1783</v>
      </c>
      <c r="H17" s="6" t="s">
        <v>557</v>
      </c>
      <c r="I17" s="6" t="s">
        <v>557</v>
      </c>
      <c r="J17" s="6" t="s">
        <v>557</v>
      </c>
      <c r="K17" s="7">
        <v>5301</v>
      </c>
      <c r="L17" s="6" t="s">
        <v>557</v>
      </c>
      <c r="M17" s="6" t="s">
        <v>557</v>
      </c>
      <c r="N17" s="6" t="s">
        <v>557</v>
      </c>
      <c r="O17" s="6" t="s">
        <v>557</v>
      </c>
      <c r="P17" s="6" t="s">
        <v>557</v>
      </c>
    </row>
    <row r="18" spans="1:16">
      <c r="A18" s="6" t="s">
        <v>557</v>
      </c>
      <c r="B18" s="6" t="s">
        <v>557</v>
      </c>
      <c r="C18" s="6" t="s">
        <v>1784</v>
      </c>
      <c r="D18" s="6" t="s">
        <v>557</v>
      </c>
      <c r="E18" s="6" t="s">
        <v>557</v>
      </c>
      <c r="F18" s="6" t="s">
        <v>1784</v>
      </c>
      <c r="G18" s="6" t="s">
        <v>1784</v>
      </c>
      <c r="H18" s="6" t="s">
        <v>557</v>
      </c>
      <c r="I18" s="6" t="s">
        <v>557</v>
      </c>
      <c r="J18" s="6" t="s">
        <v>557</v>
      </c>
      <c r="K18" s="7">
        <v>5302</v>
      </c>
      <c r="L18" s="6" t="s">
        <v>557</v>
      </c>
      <c r="M18" s="6" t="s">
        <v>557</v>
      </c>
      <c r="N18" s="6" t="s">
        <v>557</v>
      </c>
      <c r="O18" s="6" t="s">
        <v>557</v>
      </c>
      <c r="P18" s="6" t="s">
        <v>557</v>
      </c>
    </row>
    <row r="19" spans="1:16">
      <c r="A19" s="6" t="s">
        <v>557</v>
      </c>
      <c r="B19" s="6" t="s">
        <v>557</v>
      </c>
      <c r="C19" s="6" t="s">
        <v>1785</v>
      </c>
      <c r="D19" s="6" t="s">
        <v>557</v>
      </c>
      <c r="E19" s="6" t="s">
        <v>557</v>
      </c>
      <c r="F19" s="6" t="s">
        <v>1785</v>
      </c>
      <c r="G19" s="6" t="s">
        <v>1785</v>
      </c>
      <c r="H19" s="6" t="s">
        <v>557</v>
      </c>
      <c r="I19" s="6" t="s">
        <v>557</v>
      </c>
      <c r="J19" s="6" t="s">
        <v>557</v>
      </c>
      <c r="K19" s="7">
        <v>5303</v>
      </c>
      <c r="L19" s="6" t="s">
        <v>557</v>
      </c>
      <c r="M19" s="6" t="s">
        <v>557</v>
      </c>
      <c r="N19" s="6" t="s">
        <v>557</v>
      </c>
      <c r="O19" s="6" t="s">
        <v>557</v>
      </c>
      <c r="P19" s="6" t="s">
        <v>557</v>
      </c>
    </row>
    <row r="20" spans="1:16">
      <c r="A20" s="6" t="s">
        <v>557</v>
      </c>
      <c r="B20" s="6" t="s">
        <v>557</v>
      </c>
      <c r="C20" s="6" t="s">
        <v>1786</v>
      </c>
      <c r="D20" s="6" t="s">
        <v>557</v>
      </c>
      <c r="E20" s="6" t="s">
        <v>557</v>
      </c>
      <c r="F20" s="6" t="s">
        <v>1786</v>
      </c>
      <c r="G20" s="6" t="s">
        <v>1786</v>
      </c>
      <c r="H20" s="6" t="s">
        <v>557</v>
      </c>
      <c r="I20" s="6" t="s">
        <v>557</v>
      </c>
      <c r="J20" s="6" t="s">
        <v>557</v>
      </c>
      <c r="K20" s="7">
        <v>5304</v>
      </c>
      <c r="L20" s="6" t="s">
        <v>557</v>
      </c>
      <c r="M20" s="6" t="s">
        <v>557</v>
      </c>
      <c r="N20" s="6" t="s">
        <v>557</v>
      </c>
      <c r="O20" s="6" t="s">
        <v>557</v>
      </c>
      <c r="P20" s="6" t="s">
        <v>557</v>
      </c>
    </row>
    <row r="21" spans="1:16">
      <c r="A21" s="6" t="s">
        <v>557</v>
      </c>
      <c r="B21" s="6" t="s">
        <v>557</v>
      </c>
      <c r="C21" s="6" t="s">
        <v>1787</v>
      </c>
      <c r="D21" s="6" t="s">
        <v>557</v>
      </c>
      <c r="E21" s="6" t="s">
        <v>557</v>
      </c>
      <c r="F21" s="6" t="s">
        <v>1787</v>
      </c>
      <c r="G21" s="6" t="s">
        <v>1787</v>
      </c>
      <c r="H21" s="6" t="s">
        <v>557</v>
      </c>
      <c r="I21" s="6" t="s">
        <v>557</v>
      </c>
      <c r="J21" s="6" t="s">
        <v>557</v>
      </c>
      <c r="K21" s="7">
        <v>5305</v>
      </c>
      <c r="L21" s="6" t="s">
        <v>557</v>
      </c>
      <c r="M21" s="6" t="s">
        <v>557</v>
      </c>
      <c r="N21" s="6" t="s">
        <v>557</v>
      </c>
      <c r="O21" s="6" t="s">
        <v>557</v>
      </c>
      <c r="P21" s="6" t="s">
        <v>557</v>
      </c>
    </row>
    <row r="22" spans="1:16">
      <c r="A22" s="6" t="s">
        <v>557</v>
      </c>
      <c r="B22" s="6" t="s">
        <v>557</v>
      </c>
      <c r="C22" s="6" t="s">
        <v>1788</v>
      </c>
      <c r="D22" s="6" t="s">
        <v>557</v>
      </c>
      <c r="E22" s="6" t="s">
        <v>557</v>
      </c>
      <c r="F22" s="6" t="s">
        <v>1788</v>
      </c>
      <c r="G22" s="6" t="s">
        <v>1788</v>
      </c>
      <c r="H22" s="6" t="s">
        <v>557</v>
      </c>
      <c r="I22" s="6" t="s">
        <v>557</v>
      </c>
      <c r="J22" s="6" t="s">
        <v>557</v>
      </c>
      <c r="K22" s="7">
        <v>5400</v>
      </c>
      <c r="L22" s="6" t="s">
        <v>557</v>
      </c>
      <c r="M22" s="6" t="s">
        <v>557</v>
      </c>
      <c r="N22" s="6" t="s">
        <v>557</v>
      </c>
      <c r="O22" s="6" t="s">
        <v>557</v>
      </c>
      <c r="P22" s="6" t="s">
        <v>557</v>
      </c>
    </row>
    <row r="23" spans="1:16">
      <c r="A23" s="6" t="s">
        <v>557</v>
      </c>
      <c r="B23" s="6" t="s">
        <v>557</v>
      </c>
      <c r="C23" s="6" t="s">
        <v>1789</v>
      </c>
      <c r="D23" s="6" t="s">
        <v>557</v>
      </c>
      <c r="E23" s="6" t="s">
        <v>557</v>
      </c>
      <c r="F23" s="6" t="s">
        <v>1789</v>
      </c>
      <c r="G23" s="6" t="s">
        <v>1789</v>
      </c>
      <c r="H23" s="6" t="s">
        <v>557</v>
      </c>
      <c r="I23" s="6" t="s">
        <v>557</v>
      </c>
      <c r="J23" s="6" t="s">
        <v>557</v>
      </c>
      <c r="K23" s="7">
        <v>5401</v>
      </c>
      <c r="L23" s="6" t="s">
        <v>557</v>
      </c>
      <c r="M23" s="6" t="s">
        <v>557</v>
      </c>
      <c r="N23" s="6" t="s">
        <v>557</v>
      </c>
      <c r="O23" s="6" t="s">
        <v>557</v>
      </c>
      <c r="P23" s="6" t="s">
        <v>557</v>
      </c>
    </row>
    <row r="24" spans="1:16">
      <c r="A24" s="6" t="s">
        <v>557</v>
      </c>
      <c r="B24" s="6" t="s">
        <v>557</v>
      </c>
      <c r="C24" s="6" t="s">
        <v>1790</v>
      </c>
      <c r="D24" s="6" t="s">
        <v>557</v>
      </c>
      <c r="E24" s="6" t="s">
        <v>557</v>
      </c>
      <c r="F24" s="6" t="s">
        <v>1790</v>
      </c>
      <c r="G24" s="6" t="s">
        <v>1790</v>
      </c>
      <c r="H24" s="6" t="s">
        <v>557</v>
      </c>
      <c r="I24" s="6" t="s">
        <v>557</v>
      </c>
      <c r="J24" s="6" t="s">
        <v>557</v>
      </c>
      <c r="K24" s="7">
        <v>5402</v>
      </c>
      <c r="L24" s="6" t="s">
        <v>557</v>
      </c>
      <c r="M24" s="6" t="s">
        <v>557</v>
      </c>
      <c r="N24" s="6" t="s">
        <v>557</v>
      </c>
      <c r="O24" s="6" t="s">
        <v>557</v>
      </c>
      <c r="P24" s="6" t="s">
        <v>557</v>
      </c>
    </row>
    <row r="25" spans="1:16">
      <c r="A25" s="6" t="s">
        <v>557</v>
      </c>
      <c r="B25" s="6" t="s">
        <v>557</v>
      </c>
      <c r="C25" s="6" t="s">
        <v>1791</v>
      </c>
      <c r="D25" s="6" t="s">
        <v>557</v>
      </c>
      <c r="E25" s="6" t="s">
        <v>557</v>
      </c>
      <c r="F25" s="6" t="s">
        <v>1791</v>
      </c>
      <c r="G25" s="6" t="s">
        <v>1791</v>
      </c>
      <c r="H25" s="6" t="s">
        <v>557</v>
      </c>
      <c r="I25" s="6" t="s">
        <v>557</v>
      </c>
      <c r="J25" s="6" t="s">
        <v>557</v>
      </c>
      <c r="K25" s="7">
        <v>5403</v>
      </c>
      <c r="L25" s="6" t="s">
        <v>557</v>
      </c>
      <c r="M25" s="6" t="s">
        <v>557</v>
      </c>
      <c r="N25" s="6" t="s">
        <v>557</v>
      </c>
      <c r="O25" s="6" t="s">
        <v>557</v>
      </c>
      <c r="P25" s="6" t="s">
        <v>557</v>
      </c>
    </row>
    <row r="26" spans="1:16">
      <c r="A26" s="6" t="s">
        <v>557</v>
      </c>
      <c r="B26" s="6" t="s">
        <v>557</v>
      </c>
      <c r="C26" s="6" t="s">
        <v>1792</v>
      </c>
      <c r="D26" s="6" t="s">
        <v>557</v>
      </c>
      <c r="E26" s="6" t="s">
        <v>557</v>
      </c>
      <c r="F26" s="6" t="s">
        <v>1792</v>
      </c>
      <c r="G26" s="6" t="s">
        <v>1792</v>
      </c>
      <c r="H26" s="6" t="s">
        <v>557</v>
      </c>
      <c r="I26" s="6" t="s">
        <v>557</v>
      </c>
      <c r="J26" s="6" t="s">
        <v>557</v>
      </c>
      <c r="K26" s="7">
        <v>5404</v>
      </c>
      <c r="L26" s="6" t="s">
        <v>557</v>
      </c>
      <c r="M26" s="6" t="s">
        <v>557</v>
      </c>
      <c r="N26" s="6" t="s">
        <v>557</v>
      </c>
      <c r="O26" s="6" t="s">
        <v>557</v>
      </c>
      <c r="P26" s="6" t="s">
        <v>557</v>
      </c>
    </row>
    <row r="27" spans="1:16">
      <c r="A27" s="6" t="s">
        <v>557</v>
      </c>
      <c r="B27" s="6" t="s">
        <v>557</v>
      </c>
      <c r="C27" s="6" t="s">
        <v>1793</v>
      </c>
      <c r="D27" s="6" t="s">
        <v>557</v>
      </c>
      <c r="E27" s="6" t="s">
        <v>557</v>
      </c>
      <c r="F27" s="6" t="s">
        <v>1793</v>
      </c>
      <c r="G27" s="6" t="s">
        <v>1793</v>
      </c>
      <c r="H27" s="6" t="s">
        <v>557</v>
      </c>
      <c r="I27" s="6" t="s">
        <v>557</v>
      </c>
      <c r="J27" s="6" t="s">
        <v>557</v>
      </c>
      <c r="K27" s="7">
        <v>5500</v>
      </c>
      <c r="L27" s="6" t="s">
        <v>557</v>
      </c>
      <c r="M27" s="6" t="s">
        <v>557</v>
      </c>
      <c r="N27" s="6" t="s">
        <v>557</v>
      </c>
      <c r="O27" s="6" t="s">
        <v>557</v>
      </c>
      <c r="P27" s="6" t="s">
        <v>557</v>
      </c>
    </row>
    <row r="28" spans="1:16">
      <c r="A28" s="6" t="s">
        <v>557</v>
      </c>
      <c r="B28" s="6" t="s">
        <v>557</v>
      </c>
      <c r="C28" s="6" t="s">
        <v>1794</v>
      </c>
      <c r="D28" s="6" t="s">
        <v>557</v>
      </c>
      <c r="E28" s="6" t="s">
        <v>557</v>
      </c>
      <c r="F28" s="6" t="s">
        <v>1794</v>
      </c>
      <c r="G28" s="6" t="s">
        <v>1794</v>
      </c>
      <c r="H28" s="6" t="s">
        <v>557</v>
      </c>
      <c r="I28" s="6" t="s">
        <v>557</v>
      </c>
      <c r="J28" s="6" t="s">
        <v>557</v>
      </c>
      <c r="K28" s="7">
        <v>5501</v>
      </c>
      <c r="L28" s="6" t="s">
        <v>557</v>
      </c>
      <c r="M28" s="6" t="s">
        <v>557</v>
      </c>
      <c r="N28" s="6" t="s">
        <v>557</v>
      </c>
      <c r="O28" s="6" t="s">
        <v>557</v>
      </c>
      <c r="P28" s="6" t="s">
        <v>557</v>
      </c>
    </row>
    <row r="29" spans="1:16">
      <c r="A29" s="6" t="s">
        <v>557</v>
      </c>
      <c r="B29" s="6" t="s">
        <v>557</v>
      </c>
      <c r="C29" s="6" t="s">
        <v>1795</v>
      </c>
      <c r="D29" s="6" t="s">
        <v>557</v>
      </c>
      <c r="E29" s="6" t="s">
        <v>557</v>
      </c>
      <c r="F29" s="6" t="s">
        <v>1795</v>
      </c>
      <c r="G29" s="6" t="s">
        <v>1795</v>
      </c>
      <c r="H29" s="6" t="s">
        <v>557</v>
      </c>
      <c r="I29" s="6" t="s">
        <v>557</v>
      </c>
      <c r="J29" s="6" t="s">
        <v>557</v>
      </c>
      <c r="K29" s="7">
        <v>5502</v>
      </c>
      <c r="L29" s="6" t="s">
        <v>557</v>
      </c>
      <c r="M29" s="6" t="s">
        <v>557</v>
      </c>
      <c r="N29" s="6" t="s">
        <v>557</v>
      </c>
      <c r="O29" s="6" t="s">
        <v>557</v>
      </c>
      <c r="P29" s="6" t="s">
        <v>557</v>
      </c>
    </row>
    <row r="30" spans="1:16">
      <c r="A30" s="6" t="s">
        <v>557</v>
      </c>
      <c r="B30" s="6" t="s">
        <v>557</v>
      </c>
      <c r="C30" s="6" t="s">
        <v>1796</v>
      </c>
      <c r="D30" s="6" t="s">
        <v>557</v>
      </c>
      <c r="E30" s="6" t="s">
        <v>557</v>
      </c>
      <c r="F30" s="6" t="s">
        <v>1796</v>
      </c>
      <c r="G30" s="6" t="s">
        <v>1796</v>
      </c>
      <c r="H30" s="6" t="s">
        <v>557</v>
      </c>
      <c r="I30" s="6" t="s">
        <v>557</v>
      </c>
      <c r="J30" s="6" t="s">
        <v>557</v>
      </c>
      <c r="K30" s="7">
        <v>5503</v>
      </c>
      <c r="L30" s="6" t="s">
        <v>557</v>
      </c>
      <c r="M30" s="6" t="s">
        <v>557</v>
      </c>
      <c r="N30" s="6" t="s">
        <v>557</v>
      </c>
      <c r="O30" s="6" t="s">
        <v>557</v>
      </c>
      <c r="P30" s="6" t="s">
        <v>557</v>
      </c>
    </row>
    <row r="31" spans="1:16">
      <c r="A31" s="6" t="s">
        <v>557</v>
      </c>
      <c r="B31" s="6" t="s">
        <v>557</v>
      </c>
      <c r="C31" s="6" t="s">
        <v>1797</v>
      </c>
      <c r="D31" s="6" t="s">
        <v>557</v>
      </c>
      <c r="E31" s="6" t="s">
        <v>557</v>
      </c>
      <c r="F31" s="6" t="s">
        <v>1797</v>
      </c>
      <c r="G31" s="6" t="s">
        <v>1797</v>
      </c>
      <c r="H31" s="6" t="s">
        <v>557</v>
      </c>
      <c r="I31" s="6" t="s">
        <v>557</v>
      </c>
      <c r="J31" s="6" t="s">
        <v>557</v>
      </c>
      <c r="K31" s="7">
        <v>5504</v>
      </c>
      <c r="L31" s="6" t="s">
        <v>557</v>
      </c>
      <c r="M31" s="6" t="s">
        <v>557</v>
      </c>
      <c r="N31" s="6" t="s">
        <v>557</v>
      </c>
      <c r="O31" s="6" t="s">
        <v>557</v>
      </c>
      <c r="P31" s="6" t="s">
        <v>557</v>
      </c>
    </row>
    <row r="32" spans="1:16">
      <c r="A32" s="6" t="s">
        <v>557</v>
      </c>
      <c r="B32" s="6" t="s">
        <v>557</v>
      </c>
      <c r="C32" s="6" t="s">
        <v>1798</v>
      </c>
      <c r="D32" s="6" t="s">
        <v>557</v>
      </c>
      <c r="E32" s="6" t="s">
        <v>557</v>
      </c>
      <c r="F32" s="6" t="s">
        <v>1798</v>
      </c>
      <c r="G32" s="6" t="s">
        <v>1798</v>
      </c>
      <c r="H32" s="6" t="s">
        <v>557</v>
      </c>
      <c r="I32" s="6" t="s">
        <v>557</v>
      </c>
      <c r="J32" s="6" t="s">
        <v>557</v>
      </c>
      <c r="K32" s="7">
        <v>5801</v>
      </c>
      <c r="L32" s="6" t="s">
        <v>557</v>
      </c>
      <c r="M32" s="6" t="s">
        <v>557</v>
      </c>
      <c r="N32" s="6" t="s">
        <v>557</v>
      </c>
      <c r="O32" s="6" t="s">
        <v>557</v>
      </c>
      <c r="P32" s="6" t="s">
        <v>557</v>
      </c>
    </row>
    <row r="33" spans="1:18">
      <c r="A33" s="6" t="s">
        <v>557</v>
      </c>
      <c r="B33" s="6" t="s">
        <v>557</v>
      </c>
      <c r="C33" s="6" t="s">
        <v>1799</v>
      </c>
      <c r="D33" s="6" t="s">
        <v>557</v>
      </c>
      <c r="E33" s="6" t="s">
        <v>557</v>
      </c>
      <c r="F33" s="6" t="s">
        <v>1799</v>
      </c>
      <c r="G33" s="6" t="s">
        <v>1799</v>
      </c>
      <c r="H33" s="6" t="s">
        <v>557</v>
      </c>
      <c r="I33" s="6" t="s">
        <v>557</v>
      </c>
      <c r="J33" s="6" t="s">
        <v>557</v>
      </c>
      <c r="K33" s="7">
        <v>5802</v>
      </c>
      <c r="L33" s="6" t="s">
        <v>557</v>
      </c>
      <c r="M33" s="6" t="s">
        <v>557</v>
      </c>
      <c r="N33" s="6" t="s">
        <v>557</v>
      </c>
      <c r="O33" s="6" t="s">
        <v>557</v>
      </c>
      <c r="P33" s="6" t="s">
        <v>557</v>
      </c>
    </row>
    <row r="34" spans="1:18">
      <c r="A34" s="6" t="s">
        <v>557</v>
      </c>
      <c r="B34" s="6" t="s">
        <v>557</v>
      </c>
      <c r="C34" s="6" t="s">
        <v>1800</v>
      </c>
      <c r="D34" s="6" t="s">
        <v>557</v>
      </c>
      <c r="E34" s="6" t="s">
        <v>557</v>
      </c>
      <c r="F34" s="6" t="s">
        <v>1800</v>
      </c>
      <c r="G34" s="6" t="s">
        <v>1800</v>
      </c>
      <c r="H34" s="6" t="s">
        <v>557</v>
      </c>
      <c r="I34" s="6" t="s">
        <v>557</v>
      </c>
      <c r="J34" s="6" t="s">
        <v>557</v>
      </c>
      <c r="K34" s="7">
        <v>5803</v>
      </c>
      <c r="L34" s="6" t="s">
        <v>557</v>
      </c>
      <c r="M34" s="6" t="s">
        <v>557</v>
      </c>
      <c r="N34" s="6" t="s">
        <v>557</v>
      </c>
      <c r="O34" s="6" t="s">
        <v>557</v>
      </c>
      <c r="P34" s="6" t="s">
        <v>557</v>
      </c>
    </row>
    <row r="35" spans="1:18">
      <c r="A35" s="6" t="s">
        <v>557</v>
      </c>
      <c r="B35" s="6" t="s">
        <v>557</v>
      </c>
      <c r="C35" s="6" t="s">
        <v>1801</v>
      </c>
      <c r="D35" s="6" t="s">
        <v>557</v>
      </c>
      <c r="E35" s="6" t="s">
        <v>557</v>
      </c>
      <c r="F35" s="6" t="s">
        <v>1801</v>
      </c>
      <c r="G35" s="6" t="s">
        <v>1801</v>
      </c>
      <c r="H35" s="6" t="s">
        <v>557</v>
      </c>
      <c r="I35" s="6" t="s">
        <v>557</v>
      </c>
      <c r="J35" s="6" t="s">
        <v>557</v>
      </c>
      <c r="K35" s="7">
        <v>5815</v>
      </c>
      <c r="L35" s="6" t="s">
        <v>557</v>
      </c>
      <c r="M35" s="6" t="s">
        <v>557</v>
      </c>
      <c r="N35" s="6" t="s">
        <v>557</v>
      </c>
      <c r="O35" s="6" t="s">
        <v>557</v>
      </c>
      <c r="P35" s="6" t="s">
        <v>557</v>
      </c>
    </row>
    <row r="36" spans="1:18">
      <c r="A36" s="6" t="s">
        <v>557</v>
      </c>
      <c r="B36" s="6" t="s">
        <v>557</v>
      </c>
      <c r="C36" s="6" t="s">
        <v>1802</v>
      </c>
      <c r="D36" s="6" t="s">
        <v>557</v>
      </c>
      <c r="E36" s="6" t="s">
        <v>557</v>
      </c>
      <c r="F36" s="6" t="s">
        <v>1802</v>
      </c>
      <c r="G36" s="6" t="s">
        <v>1802</v>
      </c>
      <c r="H36" s="6" t="s">
        <v>557</v>
      </c>
      <c r="I36" s="6" t="s">
        <v>557</v>
      </c>
      <c r="J36" s="6" t="s">
        <v>557</v>
      </c>
      <c r="K36" s="7">
        <v>5817</v>
      </c>
      <c r="L36" s="6" t="s">
        <v>557</v>
      </c>
      <c r="M36" s="6" t="s">
        <v>557</v>
      </c>
      <c r="N36" s="6" t="s">
        <v>557</v>
      </c>
      <c r="O36" s="6" t="s">
        <v>557</v>
      </c>
      <c r="P36" s="6" t="s">
        <v>557</v>
      </c>
    </row>
    <row r="37" spans="1:18">
      <c r="A37" s="6" t="s">
        <v>557</v>
      </c>
      <c r="H37" s="6" t="s">
        <v>3140</v>
      </c>
      <c r="N37" s="6" t="s">
        <v>557</v>
      </c>
      <c r="O37" s="6" t="s">
        <v>557</v>
      </c>
    </row>
    <row r="38" spans="1:18">
      <c r="A38" s="6" t="s">
        <v>557</v>
      </c>
      <c r="H38" s="6" t="s">
        <v>3141</v>
      </c>
      <c r="N38" s="6" t="s">
        <v>557</v>
      </c>
      <c r="O38" s="6" t="s">
        <v>557</v>
      </c>
    </row>
    <row r="39" spans="1:18">
      <c r="A39" s="6" t="s">
        <v>557</v>
      </c>
      <c r="H39" s="6" t="s">
        <v>3143</v>
      </c>
      <c r="N39" s="6" t="s">
        <v>557</v>
      </c>
      <c r="O39" s="6" t="s">
        <v>557</v>
      </c>
    </row>
    <row r="40" spans="1:18">
      <c r="A40" s="6" t="s">
        <v>557</v>
      </c>
      <c r="H40" s="6" t="s">
        <v>3144</v>
      </c>
      <c r="N40" s="6" t="s">
        <v>557</v>
      </c>
      <c r="O40" s="6" t="s">
        <v>557</v>
      </c>
    </row>
    <row r="41" spans="1:18">
      <c r="A41" s="6" t="s">
        <v>557</v>
      </c>
      <c r="H41" s="6" t="s">
        <v>3145</v>
      </c>
      <c r="N41" s="6" t="s">
        <v>557</v>
      </c>
      <c r="O41" s="6" t="s">
        <v>557</v>
      </c>
    </row>
    <row r="42" spans="1:18">
      <c r="A42" s="6" t="s">
        <v>557</v>
      </c>
      <c r="H42" s="6" t="s">
        <v>3146</v>
      </c>
      <c r="N42" s="6" t="s">
        <v>557</v>
      </c>
      <c r="O42" s="6" t="s">
        <v>557</v>
      </c>
    </row>
    <row r="43" spans="1:18">
      <c r="A43" s="6" t="s">
        <v>557</v>
      </c>
      <c r="H43" s="6" t="s">
        <v>3142</v>
      </c>
      <c r="N43" s="6" t="s">
        <v>557</v>
      </c>
      <c r="O43" s="6" t="s">
        <v>557</v>
      </c>
    </row>
    <row r="44" spans="1:18">
      <c r="A44" s="6" t="s">
        <v>1803</v>
      </c>
      <c r="B44" s="6" t="s">
        <v>1804</v>
      </c>
      <c r="C44" s="6" t="s">
        <v>1805</v>
      </c>
      <c r="F44" s="6" t="s">
        <v>1805</v>
      </c>
      <c r="G44" s="6" t="s">
        <v>1805</v>
      </c>
      <c r="J44" s="6">
        <v>20</v>
      </c>
      <c r="K44" s="8">
        <v>6</v>
      </c>
      <c r="L44" s="6" t="s">
        <v>1806</v>
      </c>
      <c r="M44" s="6" t="s">
        <v>3928</v>
      </c>
      <c r="N44" s="6" t="s">
        <v>1807</v>
      </c>
      <c r="O44" s="6" t="s">
        <v>1807</v>
      </c>
      <c r="P44" s="6" t="s">
        <v>1807</v>
      </c>
      <c r="Q44" s="6" t="s">
        <v>1808</v>
      </c>
      <c r="R44" s="6" t="s">
        <v>1809</v>
      </c>
    </row>
    <row r="45" spans="1:18">
      <c r="A45" s="6" t="s">
        <v>1810</v>
      </c>
      <c r="B45" s="6" t="s">
        <v>1811</v>
      </c>
      <c r="C45" s="6" t="s">
        <v>1812</v>
      </c>
      <c r="E45" s="6" t="s">
        <v>1812</v>
      </c>
      <c r="F45" s="6" t="s">
        <v>1812</v>
      </c>
      <c r="G45" s="6" t="s">
        <v>1812</v>
      </c>
      <c r="H45" s="6" t="s">
        <v>1812</v>
      </c>
      <c r="I45" s="6" t="s">
        <v>1813</v>
      </c>
      <c r="J45" s="6">
        <v>784</v>
      </c>
      <c r="K45" s="8">
        <v>225</v>
      </c>
      <c r="L45" s="6" t="s">
        <v>1806</v>
      </c>
      <c r="M45" s="6" t="s">
        <v>3928</v>
      </c>
      <c r="N45" s="6" t="s">
        <v>1807</v>
      </c>
      <c r="O45" s="6" t="s">
        <v>1807</v>
      </c>
      <c r="P45" s="6" t="s">
        <v>1807</v>
      </c>
      <c r="Q45" s="6" t="s">
        <v>1808</v>
      </c>
      <c r="R45" s="6" t="s">
        <v>1814</v>
      </c>
    </row>
    <row r="46" spans="1:18">
      <c r="A46" s="6" t="s">
        <v>1815</v>
      </c>
      <c r="B46" s="6" t="s">
        <v>1816</v>
      </c>
      <c r="C46" s="6" t="s">
        <v>1817</v>
      </c>
      <c r="E46" s="6" t="s">
        <v>1817</v>
      </c>
      <c r="F46" s="6" t="s">
        <v>1817</v>
      </c>
      <c r="G46" s="6" t="s">
        <v>1817</v>
      </c>
      <c r="H46" s="6" t="s">
        <v>1817</v>
      </c>
      <c r="I46" s="6" t="s">
        <v>1818</v>
      </c>
      <c r="J46" s="6">
        <v>4</v>
      </c>
      <c r="K46" s="8">
        <v>2</v>
      </c>
      <c r="L46" s="6" t="s">
        <v>1806</v>
      </c>
      <c r="M46" s="6" t="s">
        <v>3928</v>
      </c>
      <c r="N46" s="6" t="s">
        <v>1807</v>
      </c>
      <c r="O46" s="6" t="s">
        <v>1807</v>
      </c>
      <c r="P46" s="6" t="s">
        <v>1807</v>
      </c>
      <c r="Q46" s="6" t="s">
        <v>1808</v>
      </c>
      <c r="R46" s="6" t="s">
        <v>1819</v>
      </c>
    </row>
    <row r="47" spans="1:18">
      <c r="A47" s="6" t="s">
        <v>1820</v>
      </c>
      <c r="C47" s="6" t="s">
        <v>1821</v>
      </c>
      <c r="F47" s="6" t="s">
        <v>1821</v>
      </c>
      <c r="G47" s="6" t="s">
        <v>1821</v>
      </c>
      <c r="K47" s="8" t="s">
        <v>557</v>
      </c>
      <c r="M47" s="6" t="s">
        <v>3928</v>
      </c>
      <c r="N47" s="6" t="s">
        <v>1807</v>
      </c>
      <c r="O47" s="6" t="s">
        <v>1807</v>
      </c>
      <c r="P47" s="6" t="s">
        <v>1807</v>
      </c>
      <c r="Q47" s="6" t="s">
        <v>1808</v>
      </c>
    </row>
    <row r="48" spans="1:18">
      <c r="A48" s="6" t="s">
        <v>1822</v>
      </c>
      <c r="B48" s="6" t="s">
        <v>1823</v>
      </c>
      <c r="C48" s="6" t="s">
        <v>1824</v>
      </c>
      <c r="F48" s="6" t="s">
        <v>1824</v>
      </c>
      <c r="G48" s="6" t="s">
        <v>1824</v>
      </c>
      <c r="H48" s="6" t="s">
        <v>1824</v>
      </c>
      <c r="I48" s="6" t="s">
        <v>1825</v>
      </c>
      <c r="J48" s="6">
        <v>28</v>
      </c>
      <c r="K48" s="8">
        <v>8</v>
      </c>
      <c r="L48" s="6" t="s">
        <v>1806</v>
      </c>
      <c r="M48" s="6" t="s">
        <v>3928</v>
      </c>
      <c r="N48" s="6" t="s">
        <v>1807</v>
      </c>
      <c r="O48" s="6" t="s">
        <v>1807</v>
      </c>
      <c r="P48" s="6" t="s">
        <v>1807</v>
      </c>
      <c r="Q48" s="6" t="s">
        <v>1808</v>
      </c>
      <c r="R48" s="6" t="s">
        <v>1826</v>
      </c>
    </row>
    <row r="49" spans="1:18">
      <c r="A49" s="6" t="s">
        <v>1827</v>
      </c>
      <c r="B49" s="6" t="s">
        <v>1828</v>
      </c>
      <c r="C49" s="6" t="s">
        <v>1829</v>
      </c>
      <c r="F49" s="6" t="s">
        <v>1829</v>
      </c>
      <c r="G49" s="6" t="s">
        <v>1829</v>
      </c>
      <c r="J49" s="6">
        <v>660</v>
      </c>
      <c r="K49" s="8">
        <v>258</v>
      </c>
      <c r="L49" s="6" t="s">
        <v>1806</v>
      </c>
      <c r="M49" s="6" t="s">
        <v>3928</v>
      </c>
      <c r="N49" s="6" t="s">
        <v>1807</v>
      </c>
      <c r="O49" s="6" t="s">
        <v>1807</v>
      </c>
      <c r="P49" s="6" t="s">
        <v>1807</v>
      </c>
      <c r="Q49" s="6" t="s">
        <v>1808</v>
      </c>
      <c r="R49" s="6" t="s">
        <v>1830</v>
      </c>
    </row>
    <row r="50" spans="1:18">
      <c r="A50" s="6" t="s">
        <v>1831</v>
      </c>
      <c r="B50" s="6" t="s">
        <v>1832</v>
      </c>
      <c r="C50" s="6" t="s">
        <v>1833</v>
      </c>
      <c r="D50" s="6" t="s">
        <v>1834</v>
      </c>
      <c r="E50" s="6" t="s">
        <v>1833</v>
      </c>
      <c r="F50" s="6" t="s">
        <v>1833</v>
      </c>
      <c r="G50" s="6" t="s">
        <v>1833</v>
      </c>
      <c r="H50" s="6" t="s">
        <v>1833</v>
      </c>
      <c r="I50" s="6" t="s">
        <v>1835</v>
      </c>
      <c r="J50" s="6">
        <v>8</v>
      </c>
      <c r="K50" s="8">
        <v>3</v>
      </c>
      <c r="L50" s="6" t="s">
        <v>1806</v>
      </c>
      <c r="M50" s="6" t="s">
        <v>3928</v>
      </c>
      <c r="N50" s="6" t="s">
        <v>1807</v>
      </c>
      <c r="O50" s="6" t="s">
        <v>1807</v>
      </c>
      <c r="P50" s="6" t="s">
        <v>1807</v>
      </c>
      <c r="Q50" s="6" t="s">
        <v>1808</v>
      </c>
      <c r="R50" s="6" t="s">
        <v>1836</v>
      </c>
    </row>
    <row r="51" spans="1:18">
      <c r="A51" s="6" t="s">
        <v>1837</v>
      </c>
      <c r="B51" s="6" t="s">
        <v>1838</v>
      </c>
      <c r="C51" s="6" t="s">
        <v>1839</v>
      </c>
      <c r="E51" s="6" t="s">
        <v>1839</v>
      </c>
      <c r="F51" s="6" t="s">
        <v>1839</v>
      </c>
      <c r="G51" s="6" t="s">
        <v>1839</v>
      </c>
      <c r="H51" s="6" t="s">
        <v>1839</v>
      </c>
      <c r="I51" s="6" t="s">
        <v>1675</v>
      </c>
      <c r="J51" s="6">
        <v>51</v>
      </c>
      <c r="K51" s="8">
        <v>1</v>
      </c>
      <c r="L51" s="6" t="s">
        <v>1806</v>
      </c>
      <c r="M51" s="6" t="s">
        <v>3928</v>
      </c>
      <c r="N51" s="6" t="s">
        <v>1807</v>
      </c>
      <c r="O51" s="6" t="s">
        <v>1807</v>
      </c>
      <c r="P51" s="6" t="s">
        <v>1807</v>
      </c>
      <c r="Q51" s="6" t="s">
        <v>1808</v>
      </c>
      <c r="R51" s="6" t="s">
        <v>1840</v>
      </c>
    </row>
    <row r="52" spans="1:18">
      <c r="A52" s="6" t="s">
        <v>1841</v>
      </c>
      <c r="C52" s="6" t="s">
        <v>1842</v>
      </c>
      <c r="F52" s="6" t="s">
        <v>1842</v>
      </c>
      <c r="G52" s="6" t="s">
        <v>1842</v>
      </c>
      <c r="K52" s="8" t="s">
        <v>557</v>
      </c>
      <c r="M52" s="6" t="s">
        <v>3928</v>
      </c>
      <c r="O52" s="6" t="s">
        <v>557</v>
      </c>
      <c r="P52" s="6" t="s">
        <v>557</v>
      </c>
      <c r="Q52" s="6" t="s">
        <v>1808</v>
      </c>
    </row>
    <row r="53" spans="1:18">
      <c r="A53" s="6" t="s">
        <v>1843</v>
      </c>
      <c r="B53" s="6" t="s">
        <v>1844</v>
      </c>
      <c r="C53" s="6" t="s">
        <v>1845</v>
      </c>
      <c r="F53" s="6" t="s">
        <v>1845</v>
      </c>
      <c r="G53" s="6" t="s">
        <v>1845</v>
      </c>
      <c r="H53" s="6" t="s">
        <v>1845</v>
      </c>
      <c r="J53" s="6">
        <v>530</v>
      </c>
      <c r="K53" s="8">
        <v>151</v>
      </c>
      <c r="L53" s="6" t="s">
        <v>1806</v>
      </c>
      <c r="M53" s="6" t="s">
        <v>3928</v>
      </c>
      <c r="N53" s="6" t="s">
        <v>1807</v>
      </c>
      <c r="O53" s="6" t="s">
        <v>1807</v>
      </c>
      <c r="P53" s="6" t="s">
        <v>1807</v>
      </c>
      <c r="Q53" s="6" t="s">
        <v>1808</v>
      </c>
      <c r="R53" s="6" t="s">
        <v>1846</v>
      </c>
    </row>
    <row r="54" spans="1:18">
      <c r="A54" s="6" t="s">
        <v>1847</v>
      </c>
      <c r="B54" s="6" t="s">
        <v>1848</v>
      </c>
      <c r="C54" s="6" t="s">
        <v>1849</v>
      </c>
      <c r="E54" s="6" t="s">
        <v>1849</v>
      </c>
      <c r="F54" s="6" t="s">
        <v>1849</v>
      </c>
      <c r="G54" s="6" t="s">
        <v>1849</v>
      </c>
      <c r="H54" s="6" t="s">
        <v>1849</v>
      </c>
      <c r="I54" s="6" t="s">
        <v>1850</v>
      </c>
      <c r="J54" s="6">
        <v>24</v>
      </c>
      <c r="K54" s="8">
        <v>7</v>
      </c>
      <c r="L54" s="6" t="s">
        <v>1806</v>
      </c>
      <c r="M54" s="6" t="s">
        <v>3928</v>
      </c>
      <c r="N54" s="6" t="s">
        <v>1807</v>
      </c>
      <c r="O54" s="6" t="s">
        <v>1807</v>
      </c>
      <c r="P54" s="6" t="s">
        <v>1807</v>
      </c>
      <c r="Q54" s="6" t="s">
        <v>1808</v>
      </c>
      <c r="R54" s="6" t="s">
        <v>1851</v>
      </c>
    </row>
    <row r="55" spans="1:18">
      <c r="A55" s="6" t="s">
        <v>1852</v>
      </c>
      <c r="B55" s="6" t="s">
        <v>1853</v>
      </c>
      <c r="C55" s="6" t="s">
        <v>1854</v>
      </c>
      <c r="F55" s="6" t="s">
        <v>1854</v>
      </c>
      <c r="G55" s="6" t="s">
        <v>1854</v>
      </c>
      <c r="K55" s="8">
        <v>30</v>
      </c>
      <c r="L55" s="6" t="s">
        <v>1806</v>
      </c>
      <c r="M55" s="6" t="s">
        <v>3928</v>
      </c>
      <c r="N55" s="6" t="s">
        <v>1807</v>
      </c>
      <c r="O55" s="6" t="s">
        <v>1807</v>
      </c>
      <c r="P55" s="6" t="s">
        <v>1807</v>
      </c>
      <c r="Q55" s="6" t="s">
        <v>1808</v>
      </c>
      <c r="R55" s="6" t="s">
        <v>1855</v>
      </c>
    </row>
    <row r="56" spans="1:18">
      <c r="A56" s="6" t="s">
        <v>1856</v>
      </c>
      <c r="B56" s="6" t="s">
        <v>1857</v>
      </c>
      <c r="C56" s="6" t="s">
        <v>1858</v>
      </c>
      <c r="E56" s="6" t="s">
        <v>1858</v>
      </c>
      <c r="F56" s="6" t="s">
        <v>1858</v>
      </c>
      <c r="G56" s="6" t="s">
        <v>1858</v>
      </c>
      <c r="H56" s="6" t="s">
        <v>1858</v>
      </c>
      <c r="I56" s="6" t="s">
        <v>1859</v>
      </c>
      <c r="J56" s="6">
        <v>32</v>
      </c>
      <c r="K56" s="8">
        <v>9</v>
      </c>
      <c r="L56" s="6" t="s">
        <v>1806</v>
      </c>
      <c r="M56" s="6" t="s">
        <v>3928</v>
      </c>
      <c r="N56" s="6" t="s">
        <v>1807</v>
      </c>
      <c r="O56" s="6" t="s">
        <v>1856</v>
      </c>
      <c r="P56" s="6" t="s">
        <v>1856</v>
      </c>
      <c r="Q56" s="6" t="s">
        <v>1808</v>
      </c>
      <c r="R56" s="6" t="s">
        <v>1860</v>
      </c>
    </row>
    <row r="57" spans="1:18">
      <c r="A57" s="6" t="s">
        <v>1861</v>
      </c>
      <c r="B57" s="6" t="s">
        <v>1862</v>
      </c>
      <c r="C57" s="6" t="s">
        <v>1863</v>
      </c>
      <c r="F57" s="6" t="s">
        <v>1863</v>
      </c>
      <c r="G57" s="6" t="s">
        <v>1863</v>
      </c>
      <c r="J57" s="6">
        <v>16</v>
      </c>
      <c r="K57" s="8">
        <v>5</v>
      </c>
      <c r="L57" s="6" t="s">
        <v>1806</v>
      </c>
      <c r="M57" s="6" t="s">
        <v>3928</v>
      </c>
      <c r="N57" s="6" t="s">
        <v>1807</v>
      </c>
      <c r="O57" s="6" t="s">
        <v>1807</v>
      </c>
      <c r="P57" s="6" t="s">
        <v>1807</v>
      </c>
      <c r="Q57" s="6" t="s">
        <v>1808</v>
      </c>
      <c r="R57" s="6" t="s">
        <v>1864</v>
      </c>
    </row>
    <row r="58" spans="1:18">
      <c r="A58" s="6" t="s">
        <v>1865</v>
      </c>
      <c r="C58" s="6" t="s">
        <v>1866</v>
      </c>
      <c r="F58" s="6" t="s">
        <v>1866</v>
      </c>
      <c r="G58" s="6" t="s">
        <v>1866</v>
      </c>
      <c r="K58" s="8" t="s">
        <v>557</v>
      </c>
      <c r="M58" s="6" t="s">
        <v>3928</v>
      </c>
      <c r="O58" s="6" t="s">
        <v>557</v>
      </c>
      <c r="P58" s="6" t="s">
        <v>557</v>
      </c>
      <c r="Q58" s="6" t="s">
        <v>1808</v>
      </c>
    </row>
    <row r="59" spans="1:18">
      <c r="A59" s="6" t="s">
        <v>1867</v>
      </c>
      <c r="K59" s="8" t="s">
        <v>557</v>
      </c>
      <c r="M59" s="6" t="s">
        <v>3928</v>
      </c>
      <c r="O59" s="6" t="s">
        <v>557</v>
      </c>
      <c r="P59" s="6" t="s">
        <v>557</v>
      </c>
      <c r="Q59" s="6" t="s">
        <v>1808</v>
      </c>
    </row>
    <row r="60" spans="1:18">
      <c r="A60" s="6" t="s">
        <v>1868</v>
      </c>
      <c r="B60" s="6" t="s">
        <v>1869</v>
      </c>
      <c r="C60" s="6" t="s">
        <v>1870</v>
      </c>
      <c r="D60" s="6" t="s">
        <v>1871</v>
      </c>
      <c r="E60" s="6" t="s">
        <v>1870</v>
      </c>
      <c r="F60" s="6" t="s">
        <v>1870</v>
      </c>
      <c r="G60" s="6" t="s">
        <v>1870</v>
      </c>
      <c r="H60" s="6" t="s">
        <v>1870</v>
      </c>
      <c r="I60" s="6" t="s">
        <v>1872</v>
      </c>
      <c r="J60" s="6">
        <v>40</v>
      </c>
      <c r="K60" s="8">
        <v>11</v>
      </c>
      <c r="L60" s="6" t="s">
        <v>1868</v>
      </c>
      <c r="M60" s="6" t="s">
        <v>1873</v>
      </c>
      <c r="N60" s="6" t="s">
        <v>1868</v>
      </c>
      <c r="O60" s="6" t="s">
        <v>1868</v>
      </c>
      <c r="P60" s="6" t="s">
        <v>1873</v>
      </c>
      <c r="Q60" s="6" t="s">
        <v>1874</v>
      </c>
      <c r="R60" s="6" t="s">
        <v>1875</v>
      </c>
    </row>
    <row r="61" spans="1:18">
      <c r="A61" s="6" t="s">
        <v>1876</v>
      </c>
      <c r="B61" s="6" t="s">
        <v>1877</v>
      </c>
      <c r="C61" s="6" t="s">
        <v>1878</v>
      </c>
      <c r="E61" s="6" t="s">
        <v>1878</v>
      </c>
      <c r="F61" s="6" t="s">
        <v>1878</v>
      </c>
      <c r="G61" s="6" t="s">
        <v>1878</v>
      </c>
      <c r="H61" s="6" t="s">
        <v>1878</v>
      </c>
      <c r="I61" s="6" t="s">
        <v>1879</v>
      </c>
      <c r="J61" s="6">
        <v>36</v>
      </c>
      <c r="K61" s="8">
        <v>10</v>
      </c>
      <c r="L61" s="6" t="s">
        <v>1806</v>
      </c>
      <c r="M61" s="6" t="s">
        <v>3928</v>
      </c>
      <c r="N61" s="6" t="s">
        <v>1807</v>
      </c>
      <c r="O61" s="6" t="s">
        <v>1876</v>
      </c>
      <c r="P61" s="6" t="s">
        <v>1876</v>
      </c>
      <c r="Q61" s="6" t="s">
        <v>1808</v>
      </c>
      <c r="R61" s="6" t="s">
        <v>1880</v>
      </c>
    </row>
    <row r="62" spans="1:18">
      <c r="A62" s="6" t="s">
        <v>1881</v>
      </c>
      <c r="B62" s="6" t="s">
        <v>1882</v>
      </c>
      <c r="C62" s="6" t="s">
        <v>1883</v>
      </c>
      <c r="F62" s="6" t="s">
        <v>1883</v>
      </c>
      <c r="G62" s="6" t="s">
        <v>1883</v>
      </c>
      <c r="H62" s="6" t="s">
        <v>1883</v>
      </c>
      <c r="J62" s="6">
        <v>533</v>
      </c>
      <c r="K62" s="8">
        <v>22</v>
      </c>
      <c r="L62" s="6" t="s">
        <v>1806</v>
      </c>
      <c r="M62" s="6" t="s">
        <v>3928</v>
      </c>
      <c r="N62" s="6" t="s">
        <v>1807</v>
      </c>
      <c r="O62" s="6" t="s">
        <v>1807</v>
      </c>
      <c r="P62" s="6" t="s">
        <v>1807</v>
      </c>
      <c r="Q62" s="6" t="s">
        <v>1808</v>
      </c>
      <c r="R62" s="6" t="s">
        <v>1884</v>
      </c>
    </row>
    <row r="63" spans="1:18">
      <c r="A63" s="6" t="s">
        <v>1885</v>
      </c>
      <c r="B63" s="6" t="s">
        <v>1886</v>
      </c>
      <c r="C63" s="6" t="s">
        <v>1887</v>
      </c>
      <c r="F63" s="6" t="s">
        <v>1887</v>
      </c>
      <c r="G63" s="6" t="s">
        <v>1887</v>
      </c>
      <c r="K63" s="8">
        <v>284</v>
      </c>
      <c r="L63" s="6" t="s">
        <v>1888</v>
      </c>
      <c r="M63" s="6" t="s">
        <v>1873</v>
      </c>
      <c r="N63" s="6" t="s">
        <v>1888</v>
      </c>
      <c r="O63" s="6" t="s">
        <v>1888</v>
      </c>
      <c r="P63" s="6" t="s">
        <v>1873</v>
      </c>
      <c r="Q63" s="6" t="s">
        <v>1874</v>
      </c>
      <c r="R63" s="6" t="s">
        <v>1889</v>
      </c>
    </row>
    <row r="64" spans="1:18">
      <c r="A64" s="6" t="s">
        <v>1890</v>
      </c>
      <c r="B64" s="6" t="s">
        <v>1891</v>
      </c>
      <c r="C64" s="6" t="s">
        <v>1892</v>
      </c>
      <c r="E64" s="6" t="s">
        <v>1892</v>
      </c>
      <c r="F64" s="6" t="s">
        <v>1892</v>
      </c>
      <c r="G64" s="6" t="s">
        <v>1892</v>
      </c>
      <c r="H64" s="6" t="s">
        <v>1892</v>
      </c>
      <c r="I64" s="6" t="s">
        <v>1893</v>
      </c>
      <c r="J64" s="6">
        <v>31</v>
      </c>
      <c r="K64" s="8">
        <v>52</v>
      </c>
      <c r="L64" s="6" t="s">
        <v>1806</v>
      </c>
      <c r="M64" s="6" t="s">
        <v>3928</v>
      </c>
      <c r="N64" s="6" t="s">
        <v>1807</v>
      </c>
      <c r="O64" s="6" t="s">
        <v>1807</v>
      </c>
      <c r="P64" s="6" t="s">
        <v>1807</v>
      </c>
      <c r="Q64" s="6" t="s">
        <v>1808</v>
      </c>
      <c r="R64" s="6" t="s">
        <v>1894</v>
      </c>
    </row>
    <row r="65" spans="1:18">
      <c r="A65" s="6" t="s">
        <v>1747</v>
      </c>
      <c r="B65" s="6" t="s">
        <v>1895</v>
      </c>
      <c r="C65" s="6" t="s">
        <v>1896</v>
      </c>
      <c r="D65" s="6" t="s">
        <v>1897</v>
      </c>
      <c r="E65" s="6" t="s">
        <v>1898</v>
      </c>
      <c r="F65" s="9" t="s">
        <v>1899</v>
      </c>
      <c r="G65" s="6" t="s">
        <v>1896</v>
      </c>
      <c r="H65" s="6" t="s">
        <v>1896</v>
      </c>
      <c r="I65" s="6" t="s">
        <v>1834</v>
      </c>
      <c r="J65" s="6">
        <v>70</v>
      </c>
      <c r="K65" s="8">
        <v>80</v>
      </c>
      <c r="L65" s="6" t="s">
        <v>1806</v>
      </c>
      <c r="M65" s="6" t="s">
        <v>3928</v>
      </c>
      <c r="N65" s="6" t="s">
        <v>1807</v>
      </c>
      <c r="O65" s="6" t="s">
        <v>1807</v>
      </c>
      <c r="P65" s="6" t="s">
        <v>1807</v>
      </c>
      <c r="Q65" s="6" t="s">
        <v>1808</v>
      </c>
      <c r="R65" s="6" t="s">
        <v>1900</v>
      </c>
    </row>
    <row r="66" spans="1:18">
      <c r="A66" s="6" t="s">
        <v>1748</v>
      </c>
      <c r="B66" s="6" t="s">
        <v>1901</v>
      </c>
      <c r="C66" s="6" t="s">
        <v>1902</v>
      </c>
      <c r="E66" s="6" t="s">
        <v>1902</v>
      </c>
      <c r="F66" s="6" t="s">
        <v>1902</v>
      </c>
      <c r="G66" s="6" t="s">
        <v>1902</v>
      </c>
      <c r="H66" s="6" t="s">
        <v>1902</v>
      </c>
      <c r="J66" s="6">
        <v>52</v>
      </c>
      <c r="K66" s="8">
        <v>14</v>
      </c>
      <c r="L66" s="6" t="s">
        <v>1806</v>
      </c>
      <c r="M66" s="6" t="s">
        <v>3928</v>
      </c>
      <c r="N66" s="6" t="s">
        <v>1807</v>
      </c>
      <c r="O66" s="6" t="s">
        <v>1807</v>
      </c>
      <c r="P66" s="6" t="s">
        <v>1807</v>
      </c>
      <c r="Q66" s="6" t="s">
        <v>1808</v>
      </c>
      <c r="R66" s="6" t="s">
        <v>1903</v>
      </c>
    </row>
    <row r="67" spans="1:18">
      <c r="A67" s="6" t="s">
        <v>1904</v>
      </c>
      <c r="B67" s="6" t="s">
        <v>1905</v>
      </c>
      <c r="C67" s="6" t="s">
        <v>1906</v>
      </c>
      <c r="E67" s="6" t="s">
        <v>1906</v>
      </c>
      <c r="F67" s="6" t="s">
        <v>1906</v>
      </c>
      <c r="G67" s="6" t="s">
        <v>1906</v>
      </c>
      <c r="H67" s="6" t="s">
        <v>1906</v>
      </c>
      <c r="I67" s="6" t="s">
        <v>1907</v>
      </c>
      <c r="J67" s="6">
        <v>50</v>
      </c>
      <c r="K67" s="8">
        <v>16</v>
      </c>
      <c r="L67" s="6" t="s">
        <v>1806</v>
      </c>
      <c r="M67" s="6" t="s">
        <v>3928</v>
      </c>
      <c r="N67" s="6" t="s">
        <v>1807</v>
      </c>
      <c r="O67" s="6" t="s">
        <v>1807</v>
      </c>
      <c r="P67" s="6" t="s">
        <v>1807</v>
      </c>
      <c r="Q67" s="6" t="s">
        <v>1808</v>
      </c>
      <c r="R67" s="6" t="s">
        <v>1908</v>
      </c>
    </row>
    <row r="68" spans="1:18">
      <c r="A68" s="6" t="s">
        <v>1909</v>
      </c>
      <c r="B68" s="6" t="s">
        <v>1910</v>
      </c>
      <c r="C68" s="6" t="s">
        <v>1911</v>
      </c>
      <c r="D68" s="6" t="s">
        <v>1912</v>
      </c>
      <c r="E68" s="6" t="s">
        <v>1911</v>
      </c>
      <c r="F68" s="6" t="s">
        <v>1911</v>
      </c>
      <c r="G68" s="6" t="s">
        <v>1911</v>
      </c>
      <c r="H68" s="6" t="s">
        <v>1911</v>
      </c>
      <c r="I68" s="6" t="s">
        <v>1913</v>
      </c>
      <c r="J68" s="6">
        <v>56</v>
      </c>
      <c r="K68" s="8">
        <v>255</v>
      </c>
      <c r="L68" s="6" t="s">
        <v>1909</v>
      </c>
      <c r="M68" s="6" t="s">
        <v>1873</v>
      </c>
      <c r="N68" s="6" t="s">
        <v>1909</v>
      </c>
      <c r="O68" s="6" t="s">
        <v>1909</v>
      </c>
      <c r="P68" s="6" t="s">
        <v>1873</v>
      </c>
      <c r="Q68" s="6" t="s">
        <v>1874</v>
      </c>
      <c r="R68" s="6" t="s">
        <v>1914</v>
      </c>
    </row>
    <row r="69" spans="1:18">
      <c r="A69" s="6" t="s">
        <v>1915</v>
      </c>
      <c r="B69" s="6" t="s">
        <v>1916</v>
      </c>
      <c r="C69" s="6" t="s">
        <v>1917</v>
      </c>
      <c r="E69" s="6" t="s">
        <v>1917</v>
      </c>
      <c r="F69" s="6" t="s">
        <v>1917</v>
      </c>
      <c r="G69" s="6" t="s">
        <v>1917</v>
      </c>
      <c r="H69" s="6" t="s">
        <v>1917</v>
      </c>
      <c r="I69" s="6" t="s">
        <v>1918</v>
      </c>
      <c r="J69" s="6">
        <v>854</v>
      </c>
      <c r="K69" s="8">
        <v>233</v>
      </c>
      <c r="L69" s="6" t="s">
        <v>1806</v>
      </c>
      <c r="M69" s="6" t="s">
        <v>3928</v>
      </c>
      <c r="N69" s="6" t="s">
        <v>1807</v>
      </c>
      <c r="O69" s="6" t="s">
        <v>1807</v>
      </c>
      <c r="P69" s="6" t="s">
        <v>1807</v>
      </c>
      <c r="Q69" s="6" t="s">
        <v>1808</v>
      </c>
      <c r="R69" s="6" t="s">
        <v>1919</v>
      </c>
    </row>
    <row r="70" spans="1:18">
      <c r="A70" s="6" t="s">
        <v>1920</v>
      </c>
      <c r="B70" s="6" t="s">
        <v>1921</v>
      </c>
      <c r="C70" s="6" t="s">
        <v>1922</v>
      </c>
      <c r="D70" s="6" t="s">
        <v>1923</v>
      </c>
      <c r="E70" s="6" t="s">
        <v>1922</v>
      </c>
      <c r="F70" s="6" t="s">
        <v>1922</v>
      </c>
      <c r="G70" s="6" t="s">
        <v>1922</v>
      </c>
      <c r="H70" s="6" t="s">
        <v>1922</v>
      </c>
      <c r="I70" s="6" t="s">
        <v>1924</v>
      </c>
      <c r="J70" s="6">
        <v>100</v>
      </c>
      <c r="K70" s="8">
        <v>27</v>
      </c>
      <c r="L70" s="6" t="s">
        <v>1920</v>
      </c>
      <c r="M70" s="6" t="s">
        <v>1873</v>
      </c>
      <c r="N70" s="6" t="s">
        <v>1920</v>
      </c>
      <c r="O70" s="6" t="s">
        <v>1920</v>
      </c>
      <c r="P70" s="6" t="s">
        <v>1873</v>
      </c>
      <c r="Q70" s="6" t="s">
        <v>1874</v>
      </c>
      <c r="R70" s="6" t="s">
        <v>1925</v>
      </c>
    </row>
    <row r="71" spans="1:18">
      <c r="A71" s="6" t="s">
        <v>1926</v>
      </c>
      <c r="B71" s="6" t="s">
        <v>1927</v>
      </c>
      <c r="C71" s="6" t="s">
        <v>1928</v>
      </c>
      <c r="E71" s="6" t="s">
        <v>1928</v>
      </c>
      <c r="F71" s="6" t="s">
        <v>1928</v>
      </c>
      <c r="G71" s="6" t="s">
        <v>1928</v>
      </c>
      <c r="H71" s="6" t="s">
        <v>1928</v>
      </c>
      <c r="I71" s="6" t="s">
        <v>1929</v>
      </c>
      <c r="J71" s="6">
        <v>48</v>
      </c>
      <c r="K71" s="8">
        <v>13</v>
      </c>
      <c r="L71" s="6" t="s">
        <v>1806</v>
      </c>
      <c r="M71" s="6" t="s">
        <v>3928</v>
      </c>
      <c r="N71" s="6" t="s">
        <v>1807</v>
      </c>
      <c r="O71" s="6" t="s">
        <v>1807</v>
      </c>
      <c r="P71" s="6" t="s">
        <v>1807</v>
      </c>
      <c r="Q71" s="6" t="s">
        <v>1808</v>
      </c>
      <c r="R71" s="6" t="s">
        <v>1930</v>
      </c>
    </row>
    <row r="72" spans="1:18">
      <c r="A72" s="6" t="s">
        <v>1931</v>
      </c>
      <c r="B72" s="6" t="s">
        <v>1932</v>
      </c>
      <c r="C72" s="6" t="s">
        <v>1933</v>
      </c>
      <c r="E72" s="6" t="s">
        <v>1933</v>
      </c>
      <c r="F72" s="6" t="s">
        <v>1933</v>
      </c>
      <c r="G72" s="6" t="s">
        <v>1933</v>
      </c>
      <c r="H72" s="6" t="s">
        <v>1933</v>
      </c>
      <c r="I72" s="6" t="s">
        <v>1686</v>
      </c>
      <c r="J72" s="6">
        <v>108</v>
      </c>
      <c r="K72" s="8">
        <v>29</v>
      </c>
      <c r="L72" s="6" t="s">
        <v>1806</v>
      </c>
      <c r="M72" s="6" t="s">
        <v>3928</v>
      </c>
      <c r="N72" s="6" t="s">
        <v>1807</v>
      </c>
      <c r="O72" s="6" t="s">
        <v>1807</v>
      </c>
      <c r="P72" s="6" t="s">
        <v>1807</v>
      </c>
      <c r="Q72" s="6" t="s">
        <v>1808</v>
      </c>
      <c r="R72" s="6" t="s">
        <v>1934</v>
      </c>
    </row>
    <row r="73" spans="1:18">
      <c r="A73" s="6" t="s">
        <v>1935</v>
      </c>
      <c r="B73" s="6" t="s">
        <v>1936</v>
      </c>
      <c r="C73" s="6" t="s">
        <v>1937</v>
      </c>
      <c r="E73" s="6" t="s">
        <v>1937</v>
      </c>
      <c r="F73" s="6" t="s">
        <v>1937</v>
      </c>
      <c r="G73" s="6" t="s">
        <v>1937</v>
      </c>
      <c r="H73" s="6" t="s">
        <v>1937</v>
      </c>
      <c r="I73" s="6" t="s">
        <v>1938</v>
      </c>
      <c r="J73" s="6">
        <v>204</v>
      </c>
      <c r="K73" s="8">
        <v>53</v>
      </c>
      <c r="L73" s="6" t="s">
        <v>1806</v>
      </c>
      <c r="M73" s="6" t="s">
        <v>3928</v>
      </c>
      <c r="N73" s="6" t="s">
        <v>1807</v>
      </c>
      <c r="O73" s="6" t="s">
        <v>1807</v>
      </c>
      <c r="P73" s="6" t="s">
        <v>1807</v>
      </c>
      <c r="Q73" s="6" t="s">
        <v>1808</v>
      </c>
      <c r="R73" s="6" t="s">
        <v>1939</v>
      </c>
    </row>
    <row r="74" spans="1:18">
      <c r="A74" s="6" t="s">
        <v>1940</v>
      </c>
      <c r="B74" s="6" t="s">
        <v>1941</v>
      </c>
      <c r="C74" s="6" t="s">
        <v>1942</v>
      </c>
      <c r="F74" s="6" t="s">
        <v>1942</v>
      </c>
      <c r="G74" s="6" t="s">
        <v>1942</v>
      </c>
      <c r="H74" s="6" t="s">
        <v>1942</v>
      </c>
      <c r="J74" s="6">
        <v>652</v>
      </c>
      <c r="K74" s="8">
        <v>282</v>
      </c>
      <c r="L74" s="6" t="s">
        <v>1806</v>
      </c>
      <c r="M74" s="6" t="s">
        <v>3928</v>
      </c>
      <c r="N74" s="6" t="s">
        <v>1807</v>
      </c>
      <c r="O74" s="6" t="s">
        <v>1807</v>
      </c>
      <c r="P74" s="6" t="s">
        <v>1807</v>
      </c>
      <c r="Q74" s="6" t="s">
        <v>1808</v>
      </c>
      <c r="R74" s="6" t="s">
        <v>1943</v>
      </c>
    </row>
    <row r="75" spans="1:18">
      <c r="A75" s="6" t="s">
        <v>1944</v>
      </c>
      <c r="B75" s="6" t="s">
        <v>1944</v>
      </c>
      <c r="C75" s="6" t="s">
        <v>1945</v>
      </c>
      <c r="F75" s="6" t="s">
        <v>1945</v>
      </c>
      <c r="G75" s="6" t="s">
        <v>1945</v>
      </c>
      <c r="H75" s="6" t="s">
        <v>1945</v>
      </c>
      <c r="K75" s="8">
        <v>15</v>
      </c>
      <c r="L75" s="6" t="s">
        <v>557</v>
      </c>
      <c r="M75" s="6" t="s">
        <v>557</v>
      </c>
      <c r="N75" s="6" t="s">
        <v>557</v>
      </c>
      <c r="O75" s="6" t="s">
        <v>557</v>
      </c>
      <c r="P75" s="6" t="s">
        <v>557</v>
      </c>
      <c r="Q75" s="6" t="s">
        <v>557</v>
      </c>
    </row>
    <row r="76" spans="1:18">
      <c r="A76" s="6" t="s">
        <v>1946</v>
      </c>
      <c r="B76" s="6" t="s">
        <v>1947</v>
      </c>
      <c r="C76" s="6" t="s">
        <v>1948</v>
      </c>
      <c r="F76" s="6" t="s">
        <v>1948</v>
      </c>
      <c r="G76" s="6" t="s">
        <v>1948</v>
      </c>
      <c r="H76" s="6" t="s">
        <v>1948</v>
      </c>
      <c r="I76" s="6" t="s">
        <v>1949</v>
      </c>
      <c r="J76" s="6">
        <v>60</v>
      </c>
      <c r="K76" s="8">
        <v>17</v>
      </c>
      <c r="L76" s="6" t="s">
        <v>1806</v>
      </c>
      <c r="M76" s="6" t="s">
        <v>3928</v>
      </c>
      <c r="N76" s="6" t="s">
        <v>1807</v>
      </c>
      <c r="O76" s="6" t="s">
        <v>1807</v>
      </c>
      <c r="P76" s="6" t="s">
        <v>1807</v>
      </c>
      <c r="Q76" s="6" t="s">
        <v>1808</v>
      </c>
      <c r="R76" s="6" t="s">
        <v>1950</v>
      </c>
    </row>
    <row r="77" spans="1:18">
      <c r="A77" s="6" t="s">
        <v>1951</v>
      </c>
      <c r="B77" s="6" t="s">
        <v>1952</v>
      </c>
      <c r="C77" s="6" t="s">
        <v>1953</v>
      </c>
      <c r="E77" s="6" t="s">
        <v>1954</v>
      </c>
      <c r="F77" s="6" t="s">
        <v>1953</v>
      </c>
      <c r="G77" s="6" t="s">
        <v>1953</v>
      </c>
      <c r="H77" s="6" t="s">
        <v>1953</v>
      </c>
      <c r="I77" s="6" t="s">
        <v>1955</v>
      </c>
      <c r="J77" s="6">
        <v>96</v>
      </c>
      <c r="K77" s="8">
        <v>26</v>
      </c>
      <c r="L77" s="6" t="s">
        <v>1806</v>
      </c>
      <c r="M77" s="6" t="s">
        <v>3928</v>
      </c>
      <c r="N77" s="6" t="s">
        <v>1807</v>
      </c>
      <c r="O77" s="6" t="s">
        <v>1807</v>
      </c>
      <c r="P77" s="6" t="s">
        <v>1807</v>
      </c>
      <c r="Q77" s="6" t="s">
        <v>1808</v>
      </c>
      <c r="R77" s="6" t="s">
        <v>1956</v>
      </c>
    </row>
    <row r="78" spans="1:18">
      <c r="A78" s="6" t="s">
        <v>1957</v>
      </c>
      <c r="B78" s="6" t="s">
        <v>1958</v>
      </c>
      <c r="C78" s="6" t="s">
        <v>1959</v>
      </c>
      <c r="E78" s="6" t="s">
        <v>1959</v>
      </c>
      <c r="F78" s="6" t="s">
        <v>1959</v>
      </c>
      <c r="G78" s="6" t="s">
        <v>1959</v>
      </c>
      <c r="H78" s="6" t="s">
        <v>1959</v>
      </c>
      <c r="I78" s="6" t="s">
        <v>1923</v>
      </c>
      <c r="J78" s="6">
        <v>68</v>
      </c>
      <c r="K78" s="8">
        <v>19</v>
      </c>
      <c r="L78" s="6" t="s">
        <v>1806</v>
      </c>
      <c r="M78" s="6" t="s">
        <v>3928</v>
      </c>
      <c r="N78" s="6" t="s">
        <v>1807</v>
      </c>
      <c r="O78" s="6" t="s">
        <v>1807</v>
      </c>
      <c r="P78" s="6" t="s">
        <v>1807</v>
      </c>
      <c r="Q78" s="6" t="s">
        <v>1808</v>
      </c>
      <c r="R78" s="6" t="s">
        <v>1960</v>
      </c>
    </row>
    <row r="79" spans="1:18">
      <c r="A79" s="6" t="s">
        <v>1961</v>
      </c>
      <c r="B79" s="6" t="s">
        <v>1962</v>
      </c>
      <c r="C79" s="6" t="s">
        <v>1963</v>
      </c>
      <c r="F79" s="6" t="s">
        <v>1963</v>
      </c>
      <c r="G79" s="6" t="s">
        <v>1963</v>
      </c>
      <c r="H79" s="6" t="s">
        <v>1963</v>
      </c>
      <c r="J79" s="6">
        <v>535</v>
      </c>
      <c r="K79" s="8">
        <v>278</v>
      </c>
      <c r="L79" s="6" t="s">
        <v>1806</v>
      </c>
      <c r="M79" s="6" t="s">
        <v>3928</v>
      </c>
      <c r="N79" s="6" t="s">
        <v>1807</v>
      </c>
      <c r="O79" s="6" t="s">
        <v>1807</v>
      </c>
      <c r="P79" s="6" t="s">
        <v>1807</v>
      </c>
      <c r="Q79" s="6" t="s">
        <v>1808</v>
      </c>
      <c r="R79" s="6" t="s">
        <v>1964</v>
      </c>
    </row>
    <row r="80" spans="1:18">
      <c r="A80" s="6" t="s">
        <v>1965</v>
      </c>
      <c r="C80" s="6" t="s">
        <v>1966</v>
      </c>
      <c r="F80" s="6" t="s">
        <v>1966</v>
      </c>
      <c r="G80" s="6" t="s">
        <v>1966</v>
      </c>
      <c r="H80" s="6" t="s">
        <v>1966</v>
      </c>
      <c r="K80" s="8" t="s">
        <v>557</v>
      </c>
      <c r="L80" s="6" t="s">
        <v>1806</v>
      </c>
      <c r="M80" s="6" t="s">
        <v>3928</v>
      </c>
      <c r="N80" s="6" t="s">
        <v>1807</v>
      </c>
      <c r="O80" s="6" t="s">
        <v>1807</v>
      </c>
      <c r="P80" s="6" t="s">
        <v>1807</v>
      </c>
      <c r="Q80" s="6" t="s">
        <v>1808</v>
      </c>
    </row>
    <row r="81" spans="1:18">
      <c r="A81" s="6" t="s">
        <v>1967</v>
      </c>
      <c r="B81" s="6" t="s">
        <v>1968</v>
      </c>
      <c r="C81" s="6" t="s">
        <v>1969</v>
      </c>
      <c r="E81" s="6" t="s">
        <v>1969</v>
      </c>
      <c r="F81" s="6" t="s">
        <v>1969</v>
      </c>
      <c r="G81" s="6" t="s">
        <v>1969</v>
      </c>
      <c r="H81" s="6" t="s">
        <v>1969</v>
      </c>
      <c r="I81" s="6" t="s">
        <v>1970</v>
      </c>
      <c r="J81" s="6">
        <v>76</v>
      </c>
      <c r="K81" s="8">
        <v>21</v>
      </c>
      <c r="L81" s="6" t="s">
        <v>1806</v>
      </c>
      <c r="M81" s="6" t="s">
        <v>3928</v>
      </c>
      <c r="N81" s="6" t="s">
        <v>1807</v>
      </c>
      <c r="O81" s="6" t="s">
        <v>1967</v>
      </c>
      <c r="P81" s="6" t="s">
        <v>1967</v>
      </c>
      <c r="Q81" s="6" t="s">
        <v>1808</v>
      </c>
      <c r="R81" s="6" t="s">
        <v>1971</v>
      </c>
    </row>
    <row r="82" spans="1:18">
      <c r="A82" s="6" t="s">
        <v>1972</v>
      </c>
      <c r="B82" s="6" t="s">
        <v>1973</v>
      </c>
      <c r="C82" s="6" t="s">
        <v>1974</v>
      </c>
      <c r="E82" s="6" t="s">
        <v>1974</v>
      </c>
      <c r="F82" s="6" t="s">
        <v>1974</v>
      </c>
      <c r="G82" s="6" t="s">
        <v>1974</v>
      </c>
      <c r="H82" s="6" t="s">
        <v>1974</v>
      </c>
      <c r="I82" s="6" t="s">
        <v>1975</v>
      </c>
      <c r="J82" s="6">
        <v>44</v>
      </c>
      <c r="K82" s="8">
        <v>12</v>
      </c>
      <c r="L82" s="6" t="s">
        <v>1806</v>
      </c>
      <c r="M82" s="6" t="s">
        <v>3928</v>
      </c>
      <c r="N82" s="6" t="s">
        <v>1807</v>
      </c>
      <c r="O82" s="6" t="s">
        <v>1807</v>
      </c>
      <c r="P82" s="6" t="s">
        <v>1807</v>
      </c>
      <c r="Q82" s="6" t="s">
        <v>1808</v>
      </c>
      <c r="R82" s="6" t="s">
        <v>1976</v>
      </c>
    </row>
    <row r="83" spans="1:18">
      <c r="A83" s="6" t="s">
        <v>1977</v>
      </c>
      <c r="B83" s="6" t="s">
        <v>1978</v>
      </c>
      <c r="C83" s="6" t="s">
        <v>1979</v>
      </c>
      <c r="E83" s="6" t="s">
        <v>1979</v>
      </c>
      <c r="F83" s="6" t="s">
        <v>1979</v>
      </c>
      <c r="G83" s="6" t="s">
        <v>1979</v>
      </c>
      <c r="H83" s="6" t="s">
        <v>1979</v>
      </c>
      <c r="I83" s="6" t="s">
        <v>1980</v>
      </c>
      <c r="J83" s="6">
        <v>64</v>
      </c>
      <c r="K83" s="8">
        <v>18</v>
      </c>
      <c r="L83" s="6" t="s">
        <v>1806</v>
      </c>
      <c r="M83" s="6" t="s">
        <v>3928</v>
      </c>
      <c r="N83" s="6" t="s">
        <v>1807</v>
      </c>
      <c r="O83" s="6" t="s">
        <v>1807</v>
      </c>
      <c r="P83" s="6" t="s">
        <v>1807</v>
      </c>
      <c r="Q83" s="6" t="s">
        <v>1808</v>
      </c>
      <c r="R83" s="6" t="s">
        <v>1981</v>
      </c>
    </row>
    <row r="84" spans="1:18">
      <c r="A84" s="6" t="s">
        <v>1982</v>
      </c>
      <c r="C84" s="6" t="s">
        <v>1983</v>
      </c>
      <c r="F84" s="6" t="s">
        <v>1983</v>
      </c>
      <c r="G84" s="6" t="s">
        <v>1983</v>
      </c>
      <c r="K84" s="8" t="s">
        <v>557</v>
      </c>
      <c r="N84" s="6" t="s">
        <v>1983</v>
      </c>
      <c r="O84" s="6" t="s">
        <v>1983</v>
      </c>
      <c r="P84" s="6" t="s">
        <v>1983</v>
      </c>
    </row>
    <row r="85" spans="1:18">
      <c r="A85" s="6" t="s">
        <v>1984</v>
      </c>
      <c r="C85" s="6" t="s">
        <v>1985</v>
      </c>
      <c r="F85" s="6" t="s">
        <v>1985</v>
      </c>
      <c r="G85" s="6" t="s">
        <v>1985</v>
      </c>
      <c r="K85" s="8" t="s">
        <v>557</v>
      </c>
      <c r="N85" s="6" t="s">
        <v>1985</v>
      </c>
      <c r="O85" s="6" t="s">
        <v>1985</v>
      </c>
      <c r="P85" s="6" t="s">
        <v>1985</v>
      </c>
    </row>
    <row r="86" spans="1:18">
      <c r="A86" s="6" t="s">
        <v>1986</v>
      </c>
      <c r="B86" s="6" t="s">
        <v>1987</v>
      </c>
      <c r="C86" s="6" t="s">
        <v>1988</v>
      </c>
      <c r="F86" s="6" t="s">
        <v>1988</v>
      </c>
      <c r="G86" s="6" t="s">
        <v>1988</v>
      </c>
      <c r="H86" s="6" t="s">
        <v>1988</v>
      </c>
      <c r="K86" s="8">
        <v>31</v>
      </c>
      <c r="L86" s="6" t="s">
        <v>1806</v>
      </c>
      <c r="M86" s="6" t="s">
        <v>3928</v>
      </c>
      <c r="N86" s="6" t="s">
        <v>1807</v>
      </c>
      <c r="O86" s="6" t="s">
        <v>1807</v>
      </c>
      <c r="P86" s="6" t="s">
        <v>1807</v>
      </c>
      <c r="Q86" s="6" t="s">
        <v>1808</v>
      </c>
      <c r="R86" s="6" t="s">
        <v>1989</v>
      </c>
    </row>
    <row r="87" spans="1:18">
      <c r="A87" s="6" t="s">
        <v>1990</v>
      </c>
      <c r="B87" s="6" t="s">
        <v>1991</v>
      </c>
      <c r="C87" s="6" t="s">
        <v>1992</v>
      </c>
      <c r="E87" s="6" t="s">
        <v>1992</v>
      </c>
      <c r="F87" s="6" t="s">
        <v>1992</v>
      </c>
      <c r="G87" s="6" t="s">
        <v>1992</v>
      </c>
      <c r="H87" s="6" t="s">
        <v>1992</v>
      </c>
      <c r="I87" s="6" t="s">
        <v>1679</v>
      </c>
      <c r="J87" s="6">
        <v>72</v>
      </c>
      <c r="K87" s="8">
        <v>20</v>
      </c>
      <c r="L87" s="6" t="s">
        <v>1806</v>
      </c>
      <c r="M87" s="6" t="s">
        <v>3928</v>
      </c>
      <c r="N87" s="6" t="s">
        <v>1807</v>
      </c>
      <c r="O87" s="6" t="s">
        <v>1807</v>
      </c>
      <c r="P87" s="6" t="s">
        <v>1807</v>
      </c>
      <c r="Q87" s="6" t="s">
        <v>1808</v>
      </c>
      <c r="R87" s="6" t="s">
        <v>1993</v>
      </c>
    </row>
    <row r="88" spans="1:18">
      <c r="A88" s="6" t="s">
        <v>1994</v>
      </c>
      <c r="B88" s="6" t="s">
        <v>1995</v>
      </c>
      <c r="C88" s="6" t="s">
        <v>1996</v>
      </c>
      <c r="E88" s="6" t="s">
        <v>1996</v>
      </c>
      <c r="F88" s="6" t="s">
        <v>1996</v>
      </c>
      <c r="G88" s="6" t="s">
        <v>1996</v>
      </c>
      <c r="H88" s="6" t="s">
        <v>1996</v>
      </c>
      <c r="I88" s="6" t="s">
        <v>1997</v>
      </c>
      <c r="J88" s="6">
        <v>112</v>
      </c>
      <c r="K88" s="8">
        <v>57</v>
      </c>
      <c r="L88" s="6" t="s">
        <v>1806</v>
      </c>
      <c r="M88" s="6" t="s">
        <v>3928</v>
      </c>
      <c r="N88" s="6" t="s">
        <v>1807</v>
      </c>
      <c r="O88" s="6" t="s">
        <v>1807</v>
      </c>
      <c r="P88" s="6" t="s">
        <v>1807</v>
      </c>
      <c r="Q88" s="6" t="s">
        <v>1808</v>
      </c>
      <c r="R88" s="6" t="s">
        <v>1998</v>
      </c>
    </row>
    <row r="89" spans="1:18">
      <c r="A89" s="6" t="s">
        <v>1999</v>
      </c>
      <c r="B89" s="6" t="s">
        <v>2000</v>
      </c>
      <c r="C89" s="6" t="s">
        <v>2001</v>
      </c>
      <c r="F89" s="6" t="s">
        <v>2001</v>
      </c>
      <c r="G89" s="6" t="s">
        <v>2001</v>
      </c>
      <c r="H89" s="6" t="s">
        <v>2001</v>
      </c>
      <c r="I89" s="6" t="s">
        <v>2002</v>
      </c>
      <c r="J89" s="6">
        <v>84</v>
      </c>
      <c r="K89" s="8">
        <v>23</v>
      </c>
      <c r="L89" s="6" t="s">
        <v>1806</v>
      </c>
      <c r="M89" s="6" t="s">
        <v>3928</v>
      </c>
      <c r="N89" s="6" t="s">
        <v>1807</v>
      </c>
      <c r="O89" s="6" t="s">
        <v>1807</v>
      </c>
      <c r="P89" s="6" t="s">
        <v>1807</v>
      </c>
      <c r="Q89" s="6" t="s">
        <v>1808</v>
      </c>
      <c r="R89" s="6" t="s">
        <v>2003</v>
      </c>
    </row>
    <row r="90" spans="1:18">
      <c r="A90" s="6" t="s">
        <v>2004</v>
      </c>
      <c r="B90" s="6" t="s">
        <v>2005</v>
      </c>
      <c r="C90" s="6" t="s">
        <v>2006</v>
      </c>
      <c r="E90" s="6" t="s">
        <v>2006</v>
      </c>
      <c r="F90" s="6" t="s">
        <v>2006</v>
      </c>
      <c r="G90" s="6" t="s">
        <v>2006</v>
      </c>
      <c r="H90" s="6" t="s">
        <v>2006</v>
      </c>
      <c r="I90" s="6" t="s">
        <v>2007</v>
      </c>
      <c r="J90" s="6">
        <v>124</v>
      </c>
      <c r="K90" s="8">
        <v>33</v>
      </c>
      <c r="L90" s="6" t="s">
        <v>1806</v>
      </c>
      <c r="M90" s="6" t="s">
        <v>3928</v>
      </c>
      <c r="N90" s="6" t="s">
        <v>1807</v>
      </c>
      <c r="O90" s="6" t="s">
        <v>2004</v>
      </c>
      <c r="P90" s="6" t="s">
        <v>2004</v>
      </c>
      <c r="Q90" s="6" t="s">
        <v>1808</v>
      </c>
      <c r="R90" s="6" t="s">
        <v>2008</v>
      </c>
    </row>
    <row r="91" spans="1:18">
      <c r="A91" s="6" t="s">
        <v>2009</v>
      </c>
      <c r="B91" s="6" t="s">
        <v>2010</v>
      </c>
      <c r="C91" s="6" t="s">
        <v>2011</v>
      </c>
      <c r="F91" s="6" t="s">
        <v>2011</v>
      </c>
      <c r="G91" s="6" t="s">
        <v>2011</v>
      </c>
      <c r="H91" s="6" t="s">
        <v>2011</v>
      </c>
      <c r="J91" s="6">
        <v>166</v>
      </c>
      <c r="K91" s="8">
        <v>43</v>
      </c>
      <c r="L91" s="6" t="s">
        <v>1806</v>
      </c>
      <c r="M91" s="6" t="s">
        <v>3928</v>
      </c>
      <c r="N91" s="6" t="s">
        <v>1807</v>
      </c>
      <c r="O91" s="6" t="s">
        <v>1807</v>
      </c>
      <c r="P91" s="6" t="s">
        <v>1807</v>
      </c>
      <c r="Q91" s="6" t="s">
        <v>1808</v>
      </c>
      <c r="R91" s="6" t="s">
        <v>2012</v>
      </c>
    </row>
    <row r="92" spans="1:18">
      <c r="A92" s="6" t="s">
        <v>2013</v>
      </c>
      <c r="B92" s="6" t="s">
        <v>2014</v>
      </c>
      <c r="C92" s="6" t="s">
        <v>2015</v>
      </c>
      <c r="E92" s="6" t="s">
        <v>2016</v>
      </c>
      <c r="F92" s="9" t="s">
        <v>2017</v>
      </c>
      <c r="G92" s="6" t="s">
        <v>2015</v>
      </c>
      <c r="H92" s="6" t="s">
        <v>2015</v>
      </c>
      <c r="J92" s="6">
        <v>180</v>
      </c>
      <c r="K92" s="8">
        <v>250</v>
      </c>
      <c r="L92" s="6" t="s">
        <v>1806</v>
      </c>
      <c r="M92" s="6" t="s">
        <v>3928</v>
      </c>
      <c r="N92" s="6" t="s">
        <v>1807</v>
      </c>
      <c r="O92" s="6" t="s">
        <v>1807</v>
      </c>
      <c r="P92" s="6" t="s">
        <v>1807</v>
      </c>
      <c r="Q92" s="6" t="s">
        <v>1808</v>
      </c>
      <c r="R92" s="6" t="s">
        <v>2018</v>
      </c>
    </row>
    <row r="93" spans="1:18">
      <c r="A93" s="6" t="s">
        <v>2019</v>
      </c>
      <c r="B93" s="6" t="s">
        <v>2020</v>
      </c>
      <c r="C93" s="6" t="s">
        <v>2021</v>
      </c>
      <c r="E93" s="6" t="s">
        <v>2021</v>
      </c>
      <c r="F93" s="6" t="s">
        <v>2021</v>
      </c>
      <c r="G93" s="6" t="s">
        <v>2021</v>
      </c>
      <c r="H93" s="6" t="s">
        <v>2021</v>
      </c>
      <c r="J93" s="6">
        <v>140</v>
      </c>
      <c r="K93" s="8">
        <v>37</v>
      </c>
      <c r="L93" s="6" t="s">
        <v>1806</v>
      </c>
      <c r="M93" s="6" t="s">
        <v>3928</v>
      </c>
      <c r="N93" s="6" t="s">
        <v>1807</v>
      </c>
      <c r="O93" s="6" t="s">
        <v>1807</v>
      </c>
      <c r="P93" s="6" t="s">
        <v>1807</v>
      </c>
      <c r="Q93" s="6" t="s">
        <v>1808</v>
      </c>
      <c r="R93" s="6" t="s">
        <v>2022</v>
      </c>
    </row>
    <row r="94" spans="1:18">
      <c r="A94" s="6" t="s">
        <v>2023</v>
      </c>
      <c r="B94" s="6" t="s">
        <v>2024</v>
      </c>
      <c r="C94" s="6" t="s">
        <v>2025</v>
      </c>
      <c r="E94" s="6" t="s">
        <v>2026</v>
      </c>
      <c r="F94" s="6" t="s">
        <v>2027</v>
      </c>
      <c r="G94" s="6" t="s">
        <v>4344</v>
      </c>
      <c r="H94" s="6" t="s">
        <v>2025</v>
      </c>
      <c r="I94" s="6" t="s">
        <v>2028</v>
      </c>
      <c r="J94" s="6">
        <v>178</v>
      </c>
      <c r="K94" s="8">
        <v>46</v>
      </c>
      <c r="L94" s="6" t="s">
        <v>1806</v>
      </c>
      <c r="M94" s="6" t="s">
        <v>3928</v>
      </c>
      <c r="N94" s="6" t="s">
        <v>1807</v>
      </c>
      <c r="O94" s="6" t="s">
        <v>1807</v>
      </c>
      <c r="P94" s="6" t="s">
        <v>1807</v>
      </c>
      <c r="Q94" s="6" t="s">
        <v>1808</v>
      </c>
      <c r="R94" s="6" t="s">
        <v>2029</v>
      </c>
    </row>
    <row r="95" spans="1:18">
      <c r="A95" s="6" t="s">
        <v>2030</v>
      </c>
      <c r="B95" s="6" t="s">
        <v>2031</v>
      </c>
      <c r="C95" s="6" t="s">
        <v>2032</v>
      </c>
      <c r="E95" s="6" t="s">
        <v>2032</v>
      </c>
      <c r="F95" s="6" t="s">
        <v>2032</v>
      </c>
      <c r="G95" s="6" t="s">
        <v>2032</v>
      </c>
      <c r="H95" s="6" t="s">
        <v>2032</v>
      </c>
      <c r="I95" s="6" t="s">
        <v>2033</v>
      </c>
      <c r="J95" s="6">
        <v>757</v>
      </c>
      <c r="K95" s="8">
        <v>211</v>
      </c>
      <c r="L95" s="6" t="s">
        <v>1806</v>
      </c>
      <c r="M95" s="6" t="s">
        <v>3928</v>
      </c>
      <c r="N95" s="6" t="s">
        <v>1807</v>
      </c>
      <c r="O95" s="6" t="s">
        <v>2030</v>
      </c>
      <c r="P95" s="6" t="s">
        <v>2030</v>
      </c>
      <c r="Q95" s="6" t="s">
        <v>1808</v>
      </c>
      <c r="R95" s="6" t="s">
        <v>2034</v>
      </c>
    </row>
    <row r="96" spans="1:18">
      <c r="A96" s="6" t="s">
        <v>2035</v>
      </c>
      <c r="B96" s="6" t="s">
        <v>2036</v>
      </c>
      <c r="C96" s="6" t="s">
        <v>2037</v>
      </c>
      <c r="E96" s="6" t="s">
        <v>2037</v>
      </c>
      <c r="F96" s="6" t="s">
        <v>2037</v>
      </c>
      <c r="G96" s="6" t="s">
        <v>2037</v>
      </c>
      <c r="H96" s="6" t="s">
        <v>2037</v>
      </c>
      <c r="I96" s="6" t="s">
        <v>2038</v>
      </c>
      <c r="J96" s="6">
        <v>384</v>
      </c>
      <c r="K96" s="8">
        <v>107</v>
      </c>
      <c r="L96" s="6" t="s">
        <v>1806</v>
      </c>
      <c r="M96" s="6" t="s">
        <v>3928</v>
      </c>
      <c r="N96" s="6" t="s">
        <v>1807</v>
      </c>
      <c r="O96" s="6" t="s">
        <v>1807</v>
      </c>
      <c r="P96" s="6" t="s">
        <v>1807</v>
      </c>
      <c r="Q96" s="6" t="s">
        <v>1808</v>
      </c>
      <c r="R96" s="6" t="s">
        <v>2039</v>
      </c>
    </row>
    <row r="97" spans="1:18">
      <c r="A97" s="6" t="s">
        <v>2040</v>
      </c>
      <c r="B97" s="6" t="s">
        <v>2041</v>
      </c>
      <c r="C97" s="6" t="s">
        <v>2042</v>
      </c>
      <c r="F97" s="6" t="s">
        <v>2042</v>
      </c>
      <c r="G97" s="6" t="s">
        <v>2042</v>
      </c>
      <c r="H97" s="6" t="s">
        <v>2042</v>
      </c>
      <c r="J97" s="6">
        <v>184</v>
      </c>
      <c r="K97" s="8">
        <v>47</v>
      </c>
      <c r="L97" s="6" t="s">
        <v>1806</v>
      </c>
      <c r="M97" s="6" t="s">
        <v>3928</v>
      </c>
      <c r="N97" s="6" t="s">
        <v>1807</v>
      </c>
      <c r="O97" s="6" t="s">
        <v>1807</v>
      </c>
      <c r="P97" s="6" t="s">
        <v>1807</v>
      </c>
      <c r="Q97" s="6" t="s">
        <v>1808</v>
      </c>
      <c r="R97" s="6" t="s">
        <v>2043</v>
      </c>
    </row>
    <row r="98" spans="1:18">
      <c r="A98" s="6" t="s">
        <v>2044</v>
      </c>
      <c r="B98" s="6" t="s">
        <v>2045</v>
      </c>
      <c r="C98" s="6" t="s">
        <v>2046</v>
      </c>
      <c r="E98" s="6" t="s">
        <v>2046</v>
      </c>
      <c r="F98" s="6" t="s">
        <v>2046</v>
      </c>
      <c r="G98" s="6" t="s">
        <v>2046</v>
      </c>
      <c r="H98" s="6" t="s">
        <v>2046</v>
      </c>
      <c r="I98" s="6" t="s">
        <v>1694</v>
      </c>
      <c r="J98" s="6">
        <v>152</v>
      </c>
      <c r="K98" s="8">
        <v>40</v>
      </c>
      <c r="L98" s="6" t="s">
        <v>1806</v>
      </c>
      <c r="M98" s="6" t="s">
        <v>3928</v>
      </c>
      <c r="N98" s="6" t="s">
        <v>1807</v>
      </c>
      <c r="O98" s="6" t="s">
        <v>1807</v>
      </c>
      <c r="P98" s="6" t="s">
        <v>1807</v>
      </c>
      <c r="Q98" s="6" t="s">
        <v>1808</v>
      </c>
      <c r="R98" s="6" t="s">
        <v>2047</v>
      </c>
    </row>
    <row r="99" spans="1:18">
      <c r="A99" s="6" t="s">
        <v>2048</v>
      </c>
      <c r="B99" s="6" t="s">
        <v>2049</v>
      </c>
      <c r="C99" s="6" t="s">
        <v>2050</v>
      </c>
      <c r="E99" s="6" t="s">
        <v>2050</v>
      </c>
      <c r="F99" s="6" t="s">
        <v>2050</v>
      </c>
      <c r="G99" s="6" t="s">
        <v>2050</v>
      </c>
      <c r="H99" s="6" t="s">
        <v>2050</v>
      </c>
      <c r="I99" s="6" t="s">
        <v>1689</v>
      </c>
      <c r="J99" s="6">
        <v>120</v>
      </c>
      <c r="K99" s="8">
        <v>32</v>
      </c>
      <c r="L99" s="6" t="s">
        <v>1806</v>
      </c>
      <c r="M99" s="6" t="s">
        <v>3928</v>
      </c>
      <c r="N99" s="6" t="s">
        <v>1807</v>
      </c>
      <c r="O99" s="6" t="s">
        <v>1807</v>
      </c>
      <c r="P99" s="6" t="s">
        <v>1807</v>
      </c>
      <c r="Q99" s="6" t="s">
        <v>1808</v>
      </c>
      <c r="R99" s="6" t="s">
        <v>2051</v>
      </c>
    </row>
    <row r="100" spans="1:18">
      <c r="A100" s="6" t="s">
        <v>2052</v>
      </c>
      <c r="B100" s="6" t="s">
        <v>2053</v>
      </c>
      <c r="C100" s="6" t="s">
        <v>2054</v>
      </c>
      <c r="E100" s="6" t="s">
        <v>2054</v>
      </c>
      <c r="F100" s="6" t="s">
        <v>2054</v>
      </c>
      <c r="G100" s="6" t="s">
        <v>2054</v>
      </c>
      <c r="H100" s="6" t="s">
        <v>2055</v>
      </c>
      <c r="I100" s="6" t="s">
        <v>2056</v>
      </c>
      <c r="J100" s="6">
        <v>156</v>
      </c>
      <c r="K100" s="8">
        <v>351</v>
      </c>
      <c r="L100" s="6" t="s">
        <v>1806</v>
      </c>
      <c r="M100" s="6" t="s">
        <v>3928</v>
      </c>
      <c r="N100" s="6" t="s">
        <v>1807</v>
      </c>
      <c r="O100" s="6" t="s">
        <v>2052</v>
      </c>
      <c r="P100" s="6" t="s">
        <v>2052</v>
      </c>
      <c r="Q100" s="6" t="s">
        <v>1808</v>
      </c>
      <c r="R100" s="6" t="s">
        <v>2057</v>
      </c>
    </row>
    <row r="101" spans="1:18">
      <c r="A101" s="6" t="s">
        <v>2058</v>
      </c>
      <c r="B101" s="6" t="s">
        <v>2059</v>
      </c>
      <c r="C101" s="6" t="s">
        <v>2060</v>
      </c>
      <c r="E101" s="6" t="s">
        <v>2060</v>
      </c>
      <c r="F101" s="6" t="s">
        <v>2060</v>
      </c>
      <c r="G101" s="6" t="s">
        <v>2060</v>
      </c>
      <c r="H101" s="6" t="s">
        <v>2060</v>
      </c>
      <c r="I101" s="6" t="s">
        <v>1697</v>
      </c>
      <c r="J101" s="6">
        <v>170</v>
      </c>
      <c r="K101" s="8">
        <v>44</v>
      </c>
      <c r="L101" s="6" t="s">
        <v>1806</v>
      </c>
      <c r="M101" s="6" t="s">
        <v>3928</v>
      </c>
      <c r="N101" s="6" t="s">
        <v>1807</v>
      </c>
      <c r="O101" s="6" t="s">
        <v>1807</v>
      </c>
      <c r="P101" s="6" t="s">
        <v>1807</v>
      </c>
      <c r="Q101" s="6" t="s">
        <v>1808</v>
      </c>
      <c r="R101" s="6" t="s">
        <v>2061</v>
      </c>
    </row>
    <row r="102" spans="1:18">
      <c r="A102" s="6" t="s">
        <v>2062</v>
      </c>
      <c r="B102" s="6" t="s">
        <v>2063</v>
      </c>
      <c r="C102" s="6" t="s">
        <v>2064</v>
      </c>
      <c r="E102" s="6" t="s">
        <v>2064</v>
      </c>
      <c r="F102" s="6" t="s">
        <v>2064</v>
      </c>
      <c r="G102" s="6" t="s">
        <v>2064</v>
      </c>
      <c r="H102" s="6" t="s">
        <v>2064</v>
      </c>
      <c r="I102" s="6" t="s">
        <v>2065</v>
      </c>
      <c r="J102" s="6">
        <v>188</v>
      </c>
      <c r="K102" s="8">
        <v>48</v>
      </c>
      <c r="L102" s="6" t="s">
        <v>1806</v>
      </c>
      <c r="M102" s="6" t="s">
        <v>3928</v>
      </c>
      <c r="N102" s="6" t="s">
        <v>1807</v>
      </c>
      <c r="O102" s="6" t="s">
        <v>1807</v>
      </c>
      <c r="P102" s="6" t="s">
        <v>1807</v>
      </c>
      <c r="Q102" s="6" t="s">
        <v>1808</v>
      </c>
      <c r="R102" s="6" t="s">
        <v>2066</v>
      </c>
    </row>
    <row r="103" spans="1:18">
      <c r="A103" s="6" t="s">
        <v>2067</v>
      </c>
      <c r="B103" s="6" t="s">
        <v>2067</v>
      </c>
      <c r="C103" s="6" t="s">
        <v>2068</v>
      </c>
      <c r="E103" s="6" t="s">
        <v>2069</v>
      </c>
      <c r="F103" s="6" t="s">
        <v>2068</v>
      </c>
      <c r="G103" s="6" t="s">
        <v>2068</v>
      </c>
      <c r="H103" s="6" t="s">
        <v>2068</v>
      </c>
      <c r="K103" s="8">
        <v>51</v>
      </c>
      <c r="L103" s="6" t="s">
        <v>557</v>
      </c>
      <c r="M103" s="6" t="s">
        <v>557</v>
      </c>
      <c r="N103" s="6" t="s">
        <v>557</v>
      </c>
      <c r="O103" s="6" t="s">
        <v>557</v>
      </c>
      <c r="P103" s="6" t="s">
        <v>557</v>
      </c>
      <c r="Q103" s="6" t="s">
        <v>557</v>
      </c>
    </row>
    <row r="104" spans="1:18">
      <c r="A104" s="6" t="s">
        <v>2070</v>
      </c>
      <c r="B104" s="6" t="s">
        <v>2071</v>
      </c>
      <c r="C104" s="6" t="s">
        <v>2072</v>
      </c>
      <c r="E104" s="6" t="s">
        <v>2072</v>
      </c>
      <c r="F104" s="6" t="s">
        <v>2072</v>
      </c>
      <c r="G104" s="6" t="s">
        <v>2072</v>
      </c>
      <c r="H104" s="6" t="s">
        <v>2072</v>
      </c>
      <c r="I104" s="6" t="s">
        <v>1701</v>
      </c>
      <c r="J104" s="6">
        <v>192</v>
      </c>
      <c r="K104" s="8">
        <v>49</v>
      </c>
      <c r="L104" s="6" t="s">
        <v>1806</v>
      </c>
      <c r="M104" s="6" t="s">
        <v>3928</v>
      </c>
      <c r="N104" s="6" t="s">
        <v>1807</v>
      </c>
      <c r="O104" s="6" t="s">
        <v>1807</v>
      </c>
      <c r="P104" s="6" t="s">
        <v>1807</v>
      </c>
      <c r="Q104" s="6" t="s">
        <v>1808</v>
      </c>
      <c r="R104" s="6" t="s">
        <v>2073</v>
      </c>
    </row>
    <row r="105" spans="1:18">
      <c r="A105" s="6" t="s">
        <v>2074</v>
      </c>
      <c r="B105" s="6" t="s">
        <v>2075</v>
      </c>
      <c r="C105" s="6" t="s">
        <v>2076</v>
      </c>
      <c r="E105" s="6" t="s">
        <v>2077</v>
      </c>
      <c r="F105" s="6" t="s">
        <v>2076</v>
      </c>
      <c r="G105" s="6" t="s">
        <v>2076</v>
      </c>
      <c r="H105" s="6" t="s">
        <v>2076</v>
      </c>
      <c r="I105" s="6" t="s">
        <v>2078</v>
      </c>
      <c r="J105" s="6">
        <v>132</v>
      </c>
      <c r="K105" s="8">
        <v>35</v>
      </c>
      <c r="L105" s="6" t="s">
        <v>1806</v>
      </c>
      <c r="M105" s="6" t="s">
        <v>3928</v>
      </c>
      <c r="N105" s="6" t="s">
        <v>1807</v>
      </c>
      <c r="O105" s="6" t="s">
        <v>1807</v>
      </c>
      <c r="P105" s="6" t="s">
        <v>1807</v>
      </c>
      <c r="Q105" s="6" t="s">
        <v>1808</v>
      </c>
      <c r="R105" s="6" t="s">
        <v>2079</v>
      </c>
    </row>
    <row r="106" spans="1:18">
      <c r="A106" s="6" t="s">
        <v>2080</v>
      </c>
      <c r="B106" s="6" t="s">
        <v>2081</v>
      </c>
      <c r="C106" s="6" t="s">
        <v>2082</v>
      </c>
      <c r="F106" s="6" t="s">
        <v>2082</v>
      </c>
      <c r="G106" s="6" t="s">
        <v>2082</v>
      </c>
      <c r="H106" s="6" t="s">
        <v>2082</v>
      </c>
      <c r="I106" s="6" t="s">
        <v>2083</v>
      </c>
      <c r="J106" s="6">
        <v>531</v>
      </c>
      <c r="K106" s="8">
        <v>279</v>
      </c>
      <c r="L106" s="6" t="s">
        <v>1806</v>
      </c>
      <c r="M106" s="6" t="s">
        <v>3928</v>
      </c>
      <c r="N106" s="6" t="s">
        <v>1807</v>
      </c>
      <c r="O106" s="6" t="s">
        <v>1807</v>
      </c>
      <c r="P106" s="6" t="s">
        <v>1807</v>
      </c>
      <c r="Q106" s="6" t="s">
        <v>1808</v>
      </c>
      <c r="R106" s="6" t="s">
        <v>2084</v>
      </c>
    </row>
    <row r="107" spans="1:18">
      <c r="A107" s="6" t="s">
        <v>2085</v>
      </c>
      <c r="B107" s="6" t="s">
        <v>2086</v>
      </c>
      <c r="C107" s="6" t="s">
        <v>2087</v>
      </c>
      <c r="E107" s="6" t="s">
        <v>2087</v>
      </c>
      <c r="F107" s="6" t="s">
        <v>2087</v>
      </c>
      <c r="G107" s="6" t="s">
        <v>2087</v>
      </c>
      <c r="H107" s="6" t="s">
        <v>2087</v>
      </c>
      <c r="J107" s="6">
        <v>162</v>
      </c>
      <c r="K107" s="8">
        <v>42</v>
      </c>
      <c r="L107" s="6" t="s">
        <v>1806</v>
      </c>
      <c r="M107" s="6" t="s">
        <v>3928</v>
      </c>
      <c r="N107" s="6" t="s">
        <v>1807</v>
      </c>
      <c r="O107" s="6" t="s">
        <v>1807</v>
      </c>
      <c r="P107" s="6" t="s">
        <v>1807</v>
      </c>
      <c r="Q107" s="6" t="s">
        <v>1808</v>
      </c>
      <c r="R107" s="6" t="s">
        <v>2088</v>
      </c>
    </row>
    <row r="108" spans="1:18">
      <c r="A108" s="6" t="s">
        <v>2089</v>
      </c>
      <c r="B108" s="6" t="s">
        <v>2090</v>
      </c>
      <c r="C108" s="6" t="s">
        <v>2091</v>
      </c>
      <c r="D108" s="6" t="s">
        <v>2092</v>
      </c>
      <c r="E108" s="6" t="s">
        <v>2091</v>
      </c>
      <c r="F108" s="6" t="s">
        <v>2091</v>
      </c>
      <c r="G108" s="6" t="s">
        <v>2091</v>
      </c>
      <c r="H108" s="6" t="s">
        <v>2091</v>
      </c>
      <c r="I108" s="6" t="s">
        <v>2093</v>
      </c>
      <c r="J108" s="6">
        <v>196</v>
      </c>
      <c r="K108" s="8">
        <v>50</v>
      </c>
      <c r="L108" s="6" t="s">
        <v>2089</v>
      </c>
      <c r="M108" s="6" t="s">
        <v>1873</v>
      </c>
      <c r="N108" s="6" t="s">
        <v>2089</v>
      </c>
      <c r="O108" s="6" t="s">
        <v>2089</v>
      </c>
      <c r="P108" s="6" t="s">
        <v>1873</v>
      </c>
      <c r="Q108" s="6" t="s">
        <v>1874</v>
      </c>
      <c r="R108" s="6" t="s">
        <v>2094</v>
      </c>
    </row>
    <row r="109" spans="1:18">
      <c r="A109" s="6" t="s">
        <v>2095</v>
      </c>
      <c r="B109" s="6" t="s">
        <v>2096</v>
      </c>
      <c r="C109" s="6" t="s">
        <v>2097</v>
      </c>
      <c r="D109" s="6" t="s">
        <v>1678</v>
      </c>
      <c r="E109" s="6" t="s">
        <v>2098</v>
      </c>
      <c r="F109" s="6" t="s">
        <v>2097</v>
      </c>
      <c r="G109" s="6" t="s">
        <v>2097</v>
      </c>
      <c r="H109" s="6" t="s">
        <v>2097</v>
      </c>
      <c r="I109" s="6" t="s">
        <v>1706</v>
      </c>
      <c r="J109" s="6">
        <v>203</v>
      </c>
      <c r="K109" s="8">
        <v>167</v>
      </c>
      <c r="L109" s="6" t="s">
        <v>2095</v>
      </c>
      <c r="M109" s="6" t="s">
        <v>1873</v>
      </c>
      <c r="N109" s="6" t="s">
        <v>2095</v>
      </c>
      <c r="O109" s="6" t="s">
        <v>2095</v>
      </c>
      <c r="P109" s="6" t="s">
        <v>1873</v>
      </c>
      <c r="Q109" s="6" t="s">
        <v>1874</v>
      </c>
      <c r="R109" s="6" t="s">
        <v>2099</v>
      </c>
    </row>
    <row r="110" spans="1:18">
      <c r="A110" s="6" t="s">
        <v>2100</v>
      </c>
      <c r="B110" s="6" t="s">
        <v>2100</v>
      </c>
      <c r="C110" s="6" t="s">
        <v>2101</v>
      </c>
      <c r="E110" s="6" t="s">
        <v>2102</v>
      </c>
      <c r="F110" s="6" t="s">
        <v>2101</v>
      </c>
      <c r="G110" s="6" t="s">
        <v>2101</v>
      </c>
      <c r="H110" s="6" t="s">
        <v>2101</v>
      </c>
      <c r="K110" s="8" t="s">
        <v>557</v>
      </c>
      <c r="L110" s="6" t="s">
        <v>557</v>
      </c>
      <c r="M110" s="6" t="s">
        <v>557</v>
      </c>
      <c r="N110" s="6" t="s">
        <v>557</v>
      </c>
      <c r="O110" s="6" t="s">
        <v>557</v>
      </c>
      <c r="P110" s="6" t="s">
        <v>557</v>
      </c>
      <c r="Q110" s="6" t="s">
        <v>557</v>
      </c>
    </row>
    <row r="111" spans="1:18">
      <c r="A111" s="6" t="s">
        <v>2103</v>
      </c>
      <c r="B111" s="6" t="s">
        <v>2104</v>
      </c>
      <c r="C111" s="6" t="s">
        <v>2105</v>
      </c>
      <c r="D111" s="6" t="s">
        <v>1818</v>
      </c>
      <c r="E111" s="6" t="s">
        <v>2105</v>
      </c>
      <c r="F111" s="6" t="s">
        <v>2105</v>
      </c>
      <c r="G111" s="6" t="s">
        <v>2105</v>
      </c>
      <c r="H111" s="6" t="s">
        <v>2105</v>
      </c>
      <c r="I111" s="6" t="s">
        <v>2106</v>
      </c>
      <c r="J111" s="6">
        <v>276</v>
      </c>
      <c r="K111" s="8">
        <v>79</v>
      </c>
      <c r="L111" s="6" t="s">
        <v>2103</v>
      </c>
      <c r="M111" s="6" t="s">
        <v>1873</v>
      </c>
      <c r="N111" s="6" t="s">
        <v>2103</v>
      </c>
      <c r="O111" s="6" t="s">
        <v>2103</v>
      </c>
      <c r="P111" s="6" t="s">
        <v>1873</v>
      </c>
      <c r="Q111" s="6" t="s">
        <v>1874</v>
      </c>
      <c r="R111" s="6" t="s">
        <v>2107</v>
      </c>
    </row>
    <row r="112" spans="1:18">
      <c r="A112" s="6" t="s">
        <v>2108</v>
      </c>
      <c r="B112" s="6" t="s">
        <v>2109</v>
      </c>
      <c r="C112" s="6" t="s">
        <v>2110</v>
      </c>
      <c r="F112" s="6" t="s">
        <v>2110</v>
      </c>
      <c r="G112" s="6" t="s">
        <v>2110</v>
      </c>
      <c r="H112" s="6" t="s">
        <v>2110</v>
      </c>
      <c r="I112" s="6" t="s">
        <v>1724</v>
      </c>
      <c r="J112" s="6">
        <v>262</v>
      </c>
      <c r="K112" s="8">
        <v>72</v>
      </c>
      <c r="L112" s="6" t="s">
        <v>1806</v>
      </c>
      <c r="M112" s="6" t="s">
        <v>3928</v>
      </c>
      <c r="N112" s="6" t="s">
        <v>1807</v>
      </c>
      <c r="O112" s="6" t="s">
        <v>1807</v>
      </c>
      <c r="P112" s="6" t="s">
        <v>1807</v>
      </c>
      <c r="Q112" s="6" t="s">
        <v>1808</v>
      </c>
      <c r="R112" s="6" t="s">
        <v>2111</v>
      </c>
    </row>
    <row r="113" spans="1:18">
      <c r="A113" s="6" t="s">
        <v>2112</v>
      </c>
      <c r="B113" s="6" t="s">
        <v>2113</v>
      </c>
      <c r="C113" s="6" t="s">
        <v>2114</v>
      </c>
      <c r="D113" s="6" t="s">
        <v>1835</v>
      </c>
      <c r="E113" s="6" t="s">
        <v>2114</v>
      </c>
      <c r="F113" s="6" t="s">
        <v>2114</v>
      </c>
      <c r="G113" s="6" t="s">
        <v>2114</v>
      </c>
      <c r="H113" s="6" t="s">
        <v>2114</v>
      </c>
      <c r="I113" s="6" t="s">
        <v>2115</v>
      </c>
      <c r="J113" s="6">
        <v>208</v>
      </c>
      <c r="K113" s="8">
        <v>54</v>
      </c>
      <c r="L113" s="6" t="s">
        <v>2112</v>
      </c>
      <c r="M113" s="6" t="s">
        <v>1873</v>
      </c>
      <c r="N113" s="6" t="s">
        <v>2112</v>
      </c>
      <c r="O113" s="6" t="s">
        <v>2112</v>
      </c>
      <c r="P113" s="6" t="s">
        <v>1873</v>
      </c>
      <c r="Q113" s="6" t="s">
        <v>1874</v>
      </c>
      <c r="R113" s="6" t="s">
        <v>2116</v>
      </c>
    </row>
    <row r="114" spans="1:18">
      <c r="A114" s="6" t="s">
        <v>2117</v>
      </c>
      <c r="B114" s="6" t="s">
        <v>2118</v>
      </c>
      <c r="C114" s="6" t="s">
        <v>2119</v>
      </c>
      <c r="F114" s="6" t="s">
        <v>2119</v>
      </c>
      <c r="G114" s="6" t="s">
        <v>2119</v>
      </c>
      <c r="H114" s="6" t="s">
        <v>2119</v>
      </c>
      <c r="J114" s="6">
        <v>212</v>
      </c>
      <c r="K114" s="8">
        <v>55</v>
      </c>
      <c r="L114" s="6" t="s">
        <v>1806</v>
      </c>
      <c r="M114" s="6" t="s">
        <v>3928</v>
      </c>
      <c r="N114" s="6" t="s">
        <v>1807</v>
      </c>
      <c r="O114" s="6" t="s">
        <v>1807</v>
      </c>
      <c r="P114" s="6" t="s">
        <v>1807</v>
      </c>
      <c r="Q114" s="6" t="s">
        <v>1808</v>
      </c>
      <c r="R114" s="6" t="s">
        <v>2120</v>
      </c>
    </row>
    <row r="115" spans="1:18">
      <c r="A115" s="6" t="s">
        <v>2121</v>
      </c>
      <c r="B115" s="6" t="s">
        <v>2122</v>
      </c>
      <c r="C115" s="6" t="s">
        <v>2123</v>
      </c>
      <c r="E115" s="6" t="s">
        <v>2123</v>
      </c>
      <c r="F115" s="6" t="s">
        <v>2123</v>
      </c>
      <c r="G115" s="6" t="s">
        <v>2123</v>
      </c>
      <c r="H115" s="6" t="s">
        <v>2123</v>
      </c>
      <c r="I115" s="6" t="s">
        <v>2124</v>
      </c>
      <c r="J115" s="6">
        <v>214</v>
      </c>
      <c r="K115" s="8">
        <v>56</v>
      </c>
      <c r="L115" s="6" t="s">
        <v>1806</v>
      </c>
      <c r="M115" s="6" t="s">
        <v>3928</v>
      </c>
      <c r="N115" s="6" t="s">
        <v>1807</v>
      </c>
      <c r="O115" s="6" t="s">
        <v>1807</v>
      </c>
      <c r="P115" s="6" t="s">
        <v>1807</v>
      </c>
      <c r="Q115" s="6" t="s">
        <v>1808</v>
      </c>
      <c r="R115" s="6" t="s">
        <v>2125</v>
      </c>
    </row>
    <row r="116" spans="1:18">
      <c r="A116" s="6" t="s">
        <v>2126</v>
      </c>
      <c r="B116" s="6" t="s">
        <v>2127</v>
      </c>
      <c r="C116" s="6" t="s">
        <v>2128</v>
      </c>
      <c r="E116" s="6" t="s">
        <v>2128</v>
      </c>
      <c r="F116" s="6" t="s">
        <v>2128</v>
      </c>
      <c r="G116" s="6" t="s">
        <v>2128</v>
      </c>
      <c r="H116" s="6" t="s">
        <v>2128</v>
      </c>
      <c r="I116" s="6" t="s">
        <v>2129</v>
      </c>
      <c r="J116" s="6">
        <v>12</v>
      </c>
      <c r="K116" s="8">
        <v>4</v>
      </c>
      <c r="L116" s="6" t="s">
        <v>1806</v>
      </c>
      <c r="M116" s="6" t="s">
        <v>3928</v>
      </c>
      <c r="N116" s="6" t="s">
        <v>1807</v>
      </c>
      <c r="O116" s="6" t="s">
        <v>1807</v>
      </c>
      <c r="P116" s="6" t="s">
        <v>1807</v>
      </c>
      <c r="Q116" s="6" t="s">
        <v>1808</v>
      </c>
      <c r="R116" s="6" t="s">
        <v>2130</v>
      </c>
    </row>
    <row r="117" spans="1:18">
      <c r="A117" s="6" t="s">
        <v>2131</v>
      </c>
      <c r="B117" s="6" t="s">
        <v>2131</v>
      </c>
      <c r="C117" s="6" t="s">
        <v>2132</v>
      </c>
      <c r="F117" s="6" t="s">
        <v>2132</v>
      </c>
      <c r="G117" s="6" t="s">
        <v>2132</v>
      </c>
      <c r="H117" s="6" t="s">
        <v>2132</v>
      </c>
      <c r="K117" s="8" t="s">
        <v>557</v>
      </c>
      <c r="L117" s="6" t="s">
        <v>557</v>
      </c>
      <c r="M117" s="6" t="s">
        <v>557</v>
      </c>
      <c r="N117" s="6" t="s">
        <v>557</v>
      </c>
      <c r="O117" s="6" t="s">
        <v>557</v>
      </c>
      <c r="P117" s="6" t="s">
        <v>557</v>
      </c>
      <c r="Q117" s="6" t="s">
        <v>557</v>
      </c>
    </row>
    <row r="118" spans="1:18">
      <c r="A118" s="6" t="s">
        <v>2133</v>
      </c>
      <c r="B118" s="6" t="s">
        <v>2134</v>
      </c>
      <c r="C118" s="6" t="s">
        <v>2135</v>
      </c>
      <c r="E118" s="6" t="s">
        <v>2135</v>
      </c>
      <c r="F118" s="6" t="s">
        <v>2135</v>
      </c>
      <c r="G118" s="6" t="s">
        <v>2135</v>
      </c>
      <c r="H118" s="6" t="s">
        <v>2135</v>
      </c>
      <c r="I118" s="6" t="s">
        <v>2136</v>
      </c>
      <c r="J118" s="6">
        <v>218</v>
      </c>
      <c r="K118" s="8">
        <v>58</v>
      </c>
      <c r="L118" s="6" t="s">
        <v>1806</v>
      </c>
      <c r="M118" s="6" t="s">
        <v>3928</v>
      </c>
      <c r="N118" s="6" t="s">
        <v>1807</v>
      </c>
      <c r="O118" s="6" t="s">
        <v>1807</v>
      </c>
      <c r="P118" s="6" t="s">
        <v>1807</v>
      </c>
      <c r="Q118" s="6" t="s">
        <v>1808</v>
      </c>
      <c r="R118" s="6" t="s">
        <v>2137</v>
      </c>
    </row>
    <row r="119" spans="1:18">
      <c r="A119" s="6" t="s">
        <v>2138</v>
      </c>
      <c r="B119" s="6" t="s">
        <v>2139</v>
      </c>
      <c r="C119" s="6" t="s">
        <v>2140</v>
      </c>
      <c r="D119" s="6" t="s">
        <v>2141</v>
      </c>
      <c r="E119" s="6" t="s">
        <v>2140</v>
      </c>
      <c r="F119" s="6" t="s">
        <v>2140</v>
      </c>
      <c r="G119" s="6" t="s">
        <v>2140</v>
      </c>
      <c r="H119" s="6" t="s">
        <v>2140</v>
      </c>
      <c r="I119" s="6" t="s">
        <v>2142</v>
      </c>
      <c r="J119" s="6">
        <v>233</v>
      </c>
      <c r="K119" s="8">
        <v>63</v>
      </c>
      <c r="L119" s="6" t="s">
        <v>2138</v>
      </c>
      <c r="M119" s="6" t="s">
        <v>1873</v>
      </c>
      <c r="N119" s="6" t="s">
        <v>2138</v>
      </c>
      <c r="O119" s="6" t="s">
        <v>2138</v>
      </c>
      <c r="P119" s="6" t="s">
        <v>1873</v>
      </c>
      <c r="Q119" s="6" t="s">
        <v>1874</v>
      </c>
      <c r="R119" s="6" t="s">
        <v>2143</v>
      </c>
    </row>
    <row r="120" spans="1:18">
      <c r="A120" s="6" t="s">
        <v>2144</v>
      </c>
      <c r="B120" s="6" t="s">
        <v>2145</v>
      </c>
      <c r="C120" s="6" t="s">
        <v>2146</v>
      </c>
      <c r="E120" s="6" t="s">
        <v>2146</v>
      </c>
      <c r="F120" s="6" t="s">
        <v>2146</v>
      </c>
      <c r="G120" s="6" t="s">
        <v>2146</v>
      </c>
      <c r="H120" s="6" t="s">
        <v>2146</v>
      </c>
      <c r="I120" s="6" t="s">
        <v>2147</v>
      </c>
      <c r="J120" s="6">
        <v>818</v>
      </c>
      <c r="K120" s="8">
        <v>59</v>
      </c>
      <c r="L120" s="6" t="s">
        <v>1806</v>
      </c>
      <c r="M120" s="6" t="s">
        <v>3928</v>
      </c>
      <c r="N120" s="6" t="s">
        <v>1807</v>
      </c>
      <c r="O120" s="6" t="s">
        <v>1807</v>
      </c>
      <c r="P120" s="6" t="s">
        <v>1807</v>
      </c>
      <c r="Q120" s="6" t="s">
        <v>1808</v>
      </c>
      <c r="R120" s="6" t="s">
        <v>2148</v>
      </c>
    </row>
    <row r="121" spans="1:18">
      <c r="A121" s="6" t="s">
        <v>2149</v>
      </c>
      <c r="B121" s="6" t="s">
        <v>2150</v>
      </c>
      <c r="C121" s="6" t="s">
        <v>2151</v>
      </c>
      <c r="F121" s="6" t="s">
        <v>2151</v>
      </c>
      <c r="G121" s="6" t="s">
        <v>2151</v>
      </c>
      <c r="H121" s="6" t="s">
        <v>2151</v>
      </c>
      <c r="K121" s="8">
        <v>205</v>
      </c>
      <c r="L121" s="6" t="s">
        <v>1806</v>
      </c>
      <c r="M121" s="6" t="s">
        <v>3928</v>
      </c>
      <c r="N121" s="6" t="s">
        <v>1807</v>
      </c>
      <c r="O121" s="6" t="s">
        <v>1807</v>
      </c>
      <c r="P121" s="6" t="s">
        <v>1807</v>
      </c>
      <c r="Q121" s="6" t="s">
        <v>1808</v>
      </c>
      <c r="R121" s="6" t="s">
        <v>2152</v>
      </c>
    </row>
    <row r="122" spans="1:18">
      <c r="A122" s="6" t="s">
        <v>2153</v>
      </c>
      <c r="K122" s="8" t="s">
        <v>557</v>
      </c>
      <c r="M122" s="6" t="s">
        <v>1873</v>
      </c>
      <c r="O122" s="6" t="s">
        <v>557</v>
      </c>
      <c r="P122" s="6" t="s">
        <v>557</v>
      </c>
      <c r="Q122" s="6" t="s">
        <v>1874</v>
      </c>
    </row>
    <row r="123" spans="1:18">
      <c r="A123" s="6" t="s">
        <v>2154</v>
      </c>
      <c r="B123" s="6" t="s">
        <v>2155</v>
      </c>
      <c r="C123" s="6" t="s">
        <v>2156</v>
      </c>
      <c r="E123" s="6" t="s">
        <v>2156</v>
      </c>
      <c r="F123" s="6" t="s">
        <v>2156</v>
      </c>
      <c r="G123" s="6" t="s">
        <v>2156</v>
      </c>
      <c r="H123" s="6" t="s">
        <v>2156</v>
      </c>
      <c r="I123" s="6" t="s">
        <v>2157</v>
      </c>
      <c r="J123" s="6">
        <v>232</v>
      </c>
      <c r="K123" s="8">
        <v>178</v>
      </c>
      <c r="L123" s="6" t="s">
        <v>1806</v>
      </c>
      <c r="M123" s="6" t="s">
        <v>3928</v>
      </c>
      <c r="N123" s="6" t="s">
        <v>1807</v>
      </c>
      <c r="O123" s="6" t="s">
        <v>1807</v>
      </c>
      <c r="P123" s="6" t="s">
        <v>1807</v>
      </c>
      <c r="Q123" s="6" t="s">
        <v>1808</v>
      </c>
      <c r="R123" s="6" t="s">
        <v>2158</v>
      </c>
    </row>
    <row r="124" spans="1:18">
      <c r="A124" s="6" t="s">
        <v>2159</v>
      </c>
      <c r="B124" s="6" t="s">
        <v>2160</v>
      </c>
      <c r="C124" s="6" t="s">
        <v>2161</v>
      </c>
      <c r="D124" s="6" t="s">
        <v>2162</v>
      </c>
      <c r="E124" s="6" t="s">
        <v>2161</v>
      </c>
      <c r="F124" s="6" t="s">
        <v>2161</v>
      </c>
      <c r="G124" s="6" t="s">
        <v>2161</v>
      </c>
      <c r="H124" s="6" t="s">
        <v>2161</v>
      </c>
      <c r="I124" s="6" t="s">
        <v>2163</v>
      </c>
      <c r="J124" s="6">
        <v>724</v>
      </c>
      <c r="K124" s="8">
        <v>203</v>
      </c>
      <c r="L124" s="6" t="s">
        <v>2159</v>
      </c>
      <c r="M124" s="6" t="s">
        <v>1873</v>
      </c>
      <c r="N124" s="6" t="s">
        <v>2159</v>
      </c>
      <c r="O124" s="6" t="s">
        <v>2159</v>
      </c>
      <c r="P124" s="6" t="s">
        <v>1873</v>
      </c>
      <c r="Q124" s="6" t="s">
        <v>1874</v>
      </c>
      <c r="R124" s="6" t="s">
        <v>2164</v>
      </c>
    </row>
    <row r="125" spans="1:18">
      <c r="A125" s="6" t="s">
        <v>2165</v>
      </c>
      <c r="B125" s="6" t="s">
        <v>2166</v>
      </c>
      <c r="C125" s="6" t="s">
        <v>2167</v>
      </c>
      <c r="E125" s="6" t="s">
        <v>2167</v>
      </c>
      <c r="F125" s="6" t="s">
        <v>2167</v>
      </c>
      <c r="G125" s="6" t="s">
        <v>2167</v>
      </c>
      <c r="H125" s="6" t="s">
        <v>2167</v>
      </c>
      <c r="I125" s="6" t="s">
        <v>1712</v>
      </c>
      <c r="J125" s="6">
        <v>231</v>
      </c>
      <c r="K125" s="8">
        <v>238</v>
      </c>
      <c r="L125" s="6" t="s">
        <v>1806</v>
      </c>
      <c r="M125" s="6" t="s">
        <v>3928</v>
      </c>
      <c r="N125" s="6" t="s">
        <v>1807</v>
      </c>
      <c r="O125" s="6" t="s">
        <v>1807</v>
      </c>
      <c r="P125" s="6" t="s">
        <v>1807</v>
      </c>
      <c r="Q125" s="6" t="s">
        <v>1808</v>
      </c>
      <c r="R125" s="6" t="s">
        <v>2168</v>
      </c>
    </row>
    <row r="126" spans="1:18">
      <c r="A126" s="6" t="s">
        <v>2169</v>
      </c>
      <c r="D126" s="6" t="s">
        <v>2170</v>
      </c>
      <c r="K126" s="8"/>
      <c r="M126" s="6" t="s">
        <v>557</v>
      </c>
      <c r="N126" s="6" t="s">
        <v>557</v>
      </c>
      <c r="O126" s="6" t="s">
        <v>557</v>
      </c>
    </row>
    <row r="127" spans="1:18">
      <c r="A127" s="6" t="s">
        <v>2171</v>
      </c>
      <c r="D127" s="6" t="s">
        <v>2172</v>
      </c>
      <c r="K127" s="8"/>
      <c r="M127" s="6" t="s">
        <v>557</v>
      </c>
      <c r="N127" s="6" t="s">
        <v>557</v>
      </c>
      <c r="O127" s="6" t="s">
        <v>557</v>
      </c>
    </row>
    <row r="128" spans="1:18">
      <c r="A128" s="6" t="s">
        <v>1873</v>
      </c>
      <c r="C128" s="6" t="s">
        <v>1873</v>
      </c>
      <c r="D128" s="6" t="s">
        <v>2173</v>
      </c>
      <c r="F128" s="6" t="s">
        <v>1873</v>
      </c>
      <c r="G128" s="6" t="s">
        <v>1873</v>
      </c>
      <c r="H128" s="6" t="s">
        <v>2174</v>
      </c>
      <c r="K128" s="8">
        <v>5707</v>
      </c>
      <c r="M128" s="6" t="s">
        <v>1873</v>
      </c>
      <c r="N128" s="6" t="s">
        <v>1873</v>
      </c>
      <c r="O128" s="6" t="s">
        <v>1873</v>
      </c>
      <c r="P128" s="6" t="s">
        <v>2175</v>
      </c>
    </row>
    <row r="129" spans="1:18">
      <c r="A129" s="6" t="s">
        <v>2176</v>
      </c>
      <c r="D129" s="6" t="s">
        <v>2177</v>
      </c>
      <c r="H129" s="6" t="s">
        <v>2178</v>
      </c>
      <c r="K129" s="8" t="s">
        <v>557</v>
      </c>
      <c r="M129" s="6" t="s">
        <v>557</v>
      </c>
      <c r="N129" s="6" t="s">
        <v>557</v>
      </c>
      <c r="O129" s="6" t="s">
        <v>557</v>
      </c>
      <c r="P129" s="6" t="s">
        <v>557</v>
      </c>
    </row>
    <row r="130" spans="1:18">
      <c r="A130" s="6" t="s">
        <v>2179</v>
      </c>
      <c r="K130" s="8" t="s">
        <v>557</v>
      </c>
      <c r="M130" s="6" t="s">
        <v>3928</v>
      </c>
      <c r="O130" s="6" t="s">
        <v>557</v>
      </c>
      <c r="P130" s="6" t="s">
        <v>557</v>
      </c>
      <c r="Q130" s="6" t="s">
        <v>1808</v>
      </c>
    </row>
    <row r="131" spans="1:18">
      <c r="A131" s="6" t="s">
        <v>2180</v>
      </c>
      <c r="K131" s="8" t="s">
        <v>557</v>
      </c>
      <c r="M131" s="6" t="s">
        <v>3928</v>
      </c>
      <c r="O131" s="6" t="s">
        <v>557</v>
      </c>
      <c r="P131" s="6" t="s">
        <v>557</v>
      </c>
      <c r="Q131" s="6" t="s">
        <v>1808</v>
      </c>
    </row>
    <row r="132" spans="1:18">
      <c r="A132" s="6" t="s">
        <v>1888</v>
      </c>
      <c r="B132" s="6" t="s">
        <v>2181</v>
      </c>
      <c r="C132" s="6" t="s">
        <v>2182</v>
      </c>
      <c r="D132" s="6" t="s">
        <v>1859</v>
      </c>
      <c r="E132" s="6" t="s">
        <v>2182</v>
      </c>
      <c r="F132" s="6" t="s">
        <v>2182</v>
      </c>
      <c r="G132" s="6" t="s">
        <v>2182</v>
      </c>
      <c r="H132" s="6" t="s">
        <v>2182</v>
      </c>
      <c r="I132" s="6" t="s">
        <v>2183</v>
      </c>
      <c r="J132" s="6">
        <v>246</v>
      </c>
      <c r="K132" s="8">
        <v>67</v>
      </c>
      <c r="L132" s="6" t="s">
        <v>1888</v>
      </c>
      <c r="M132" s="6" t="s">
        <v>1873</v>
      </c>
      <c r="N132" s="6" t="s">
        <v>1888</v>
      </c>
      <c r="O132" s="6" t="s">
        <v>1888</v>
      </c>
      <c r="P132" s="6" t="s">
        <v>1873</v>
      </c>
      <c r="Q132" s="6" t="s">
        <v>1874</v>
      </c>
      <c r="R132" s="6" t="s">
        <v>2184</v>
      </c>
    </row>
    <row r="133" spans="1:18">
      <c r="A133" s="6" t="s">
        <v>2185</v>
      </c>
      <c r="C133" s="6" t="s">
        <v>2186</v>
      </c>
      <c r="F133" s="6" t="s">
        <v>2186</v>
      </c>
      <c r="G133" s="6" t="s">
        <v>2186</v>
      </c>
      <c r="H133" s="6" t="s">
        <v>2186</v>
      </c>
      <c r="K133" s="8" t="s">
        <v>557</v>
      </c>
      <c r="L133" s="6" t="s">
        <v>1806</v>
      </c>
      <c r="M133" s="6" t="s">
        <v>3928</v>
      </c>
      <c r="N133" s="6" t="s">
        <v>1807</v>
      </c>
      <c r="O133" s="6" t="s">
        <v>1807</v>
      </c>
      <c r="P133" s="6" t="s">
        <v>1807</v>
      </c>
      <c r="Q133" s="6" t="s">
        <v>1808</v>
      </c>
    </row>
    <row r="134" spans="1:18">
      <c r="A134" s="6" t="s">
        <v>2187</v>
      </c>
      <c r="B134" s="6" t="s">
        <v>2188</v>
      </c>
      <c r="C134" s="6" t="s">
        <v>2189</v>
      </c>
      <c r="E134" s="6" t="s">
        <v>2189</v>
      </c>
      <c r="F134" s="6" t="s">
        <v>2189</v>
      </c>
      <c r="G134" s="6" t="s">
        <v>2189</v>
      </c>
      <c r="H134" s="6" t="s">
        <v>2189</v>
      </c>
      <c r="I134" s="6" t="s">
        <v>1719</v>
      </c>
      <c r="J134" s="6">
        <v>242</v>
      </c>
      <c r="K134" s="8">
        <v>66</v>
      </c>
      <c r="L134" s="6" t="s">
        <v>1806</v>
      </c>
      <c r="M134" s="6" t="s">
        <v>3928</v>
      </c>
      <c r="N134" s="6" t="s">
        <v>1807</v>
      </c>
      <c r="O134" s="6" t="s">
        <v>1807</v>
      </c>
      <c r="P134" s="6" t="s">
        <v>1807</v>
      </c>
      <c r="Q134" s="6" t="s">
        <v>1808</v>
      </c>
      <c r="R134" s="6" t="s">
        <v>2190</v>
      </c>
    </row>
    <row r="135" spans="1:18">
      <c r="A135" s="6" t="s">
        <v>2191</v>
      </c>
      <c r="B135" s="6" t="s">
        <v>2192</v>
      </c>
      <c r="C135" s="6" t="s">
        <v>2193</v>
      </c>
      <c r="F135" s="6" t="s">
        <v>2193</v>
      </c>
      <c r="G135" s="6" t="s">
        <v>2193</v>
      </c>
      <c r="H135" s="6" t="s">
        <v>2193</v>
      </c>
      <c r="J135" s="6">
        <v>238</v>
      </c>
      <c r="K135" s="8">
        <v>65</v>
      </c>
      <c r="L135" s="6" t="s">
        <v>1806</v>
      </c>
      <c r="M135" s="6" t="s">
        <v>3928</v>
      </c>
      <c r="N135" s="6" t="s">
        <v>1807</v>
      </c>
      <c r="O135" s="6" t="s">
        <v>1807</v>
      </c>
      <c r="P135" s="6" t="s">
        <v>1807</v>
      </c>
      <c r="Q135" s="6" t="s">
        <v>1808</v>
      </c>
      <c r="R135" s="6" t="s">
        <v>2194</v>
      </c>
    </row>
    <row r="136" spans="1:18">
      <c r="A136" s="6" t="s">
        <v>2195</v>
      </c>
      <c r="B136" s="6" t="s">
        <v>2196</v>
      </c>
      <c r="C136" s="6" t="s">
        <v>2197</v>
      </c>
      <c r="F136" s="6" t="s">
        <v>2197</v>
      </c>
      <c r="G136" s="6" t="s">
        <v>2197</v>
      </c>
      <c r="H136" s="6" t="s">
        <v>2197</v>
      </c>
      <c r="J136" s="6">
        <v>583</v>
      </c>
      <c r="K136" s="8">
        <v>145</v>
      </c>
      <c r="L136" s="6" t="s">
        <v>1806</v>
      </c>
      <c r="M136" s="6" t="s">
        <v>3928</v>
      </c>
      <c r="N136" s="6" t="s">
        <v>1807</v>
      </c>
      <c r="O136" s="6" t="s">
        <v>1807</v>
      </c>
      <c r="P136" s="6" t="s">
        <v>1807</v>
      </c>
      <c r="Q136" s="6" t="s">
        <v>1808</v>
      </c>
      <c r="R136" s="6" t="s">
        <v>2198</v>
      </c>
    </row>
    <row r="137" spans="1:18">
      <c r="A137" s="6" t="s">
        <v>2199</v>
      </c>
      <c r="B137" s="6" t="s">
        <v>2200</v>
      </c>
      <c r="C137" s="6" t="s">
        <v>2201</v>
      </c>
      <c r="F137" s="6" t="s">
        <v>2201</v>
      </c>
      <c r="G137" s="6" t="s">
        <v>2201</v>
      </c>
      <c r="H137" s="6" t="s">
        <v>2201</v>
      </c>
      <c r="K137" s="8">
        <v>64</v>
      </c>
      <c r="L137" s="6" t="s">
        <v>1806</v>
      </c>
      <c r="M137" s="6" t="s">
        <v>3928</v>
      </c>
      <c r="N137" s="6" t="s">
        <v>1807</v>
      </c>
      <c r="O137" s="6" t="s">
        <v>1807</v>
      </c>
      <c r="P137" s="6" t="s">
        <v>1807</v>
      </c>
      <c r="Q137" s="6" t="s">
        <v>1808</v>
      </c>
      <c r="R137" s="6" t="s">
        <v>2202</v>
      </c>
    </row>
    <row r="138" spans="1:18">
      <c r="A138" s="6" t="s">
        <v>2203</v>
      </c>
      <c r="B138" s="6" t="s">
        <v>2204</v>
      </c>
      <c r="C138" s="6" t="s">
        <v>2205</v>
      </c>
      <c r="D138" s="6" t="s">
        <v>2206</v>
      </c>
      <c r="E138" s="6" t="s">
        <v>2205</v>
      </c>
      <c r="F138" s="6" t="s">
        <v>2205</v>
      </c>
      <c r="G138" s="6" t="s">
        <v>2205</v>
      </c>
      <c r="H138" s="6" t="s">
        <v>2205</v>
      </c>
      <c r="I138" s="6" t="s">
        <v>2207</v>
      </c>
      <c r="J138" s="6">
        <v>251</v>
      </c>
      <c r="K138" s="8">
        <v>68</v>
      </c>
      <c r="L138" s="6" t="s">
        <v>2203</v>
      </c>
      <c r="M138" s="6" t="s">
        <v>1873</v>
      </c>
      <c r="N138" s="6" t="s">
        <v>2203</v>
      </c>
      <c r="O138" s="6" t="s">
        <v>2203</v>
      </c>
      <c r="P138" s="6" t="s">
        <v>1873</v>
      </c>
      <c r="Q138" s="6" t="s">
        <v>1874</v>
      </c>
      <c r="R138" s="6" t="s">
        <v>2208</v>
      </c>
    </row>
    <row r="139" spans="1:18">
      <c r="A139" s="6" t="s">
        <v>2209</v>
      </c>
      <c r="B139" s="6" t="s">
        <v>2210</v>
      </c>
      <c r="C139" s="6" t="s">
        <v>2211</v>
      </c>
      <c r="E139" s="6" t="s">
        <v>2211</v>
      </c>
      <c r="F139" s="6" t="s">
        <v>2211</v>
      </c>
      <c r="G139" s="6" t="s">
        <v>2211</v>
      </c>
      <c r="H139" s="6" t="s">
        <v>2211</v>
      </c>
      <c r="J139" s="6">
        <v>266</v>
      </c>
      <c r="K139" s="8">
        <v>74</v>
      </c>
      <c r="L139" s="6" t="s">
        <v>1806</v>
      </c>
      <c r="M139" s="6" t="s">
        <v>3928</v>
      </c>
      <c r="N139" s="6" t="s">
        <v>1807</v>
      </c>
      <c r="O139" s="6" t="s">
        <v>1807</v>
      </c>
      <c r="P139" s="6" t="s">
        <v>1807</v>
      </c>
      <c r="Q139" s="6" t="s">
        <v>1808</v>
      </c>
      <c r="R139" s="6" t="s">
        <v>2212</v>
      </c>
    </row>
    <row r="140" spans="1:18">
      <c r="A140" s="6" t="s">
        <v>2213</v>
      </c>
      <c r="B140" s="6" t="s">
        <v>2214</v>
      </c>
      <c r="C140" s="6" t="s">
        <v>2215</v>
      </c>
      <c r="D140" s="6" t="s">
        <v>2216</v>
      </c>
      <c r="E140" s="6" t="s">
        <v>2215</v>
      </c>
      <c r="F140" s="6" t="s">
        <v>2215</v>
      </c>
      <c r="G140" s="6" t="s">
        <v>2215</v>
      </c>
      <c r="H140" s="6" t="s">
        <v>2215</v>
      </c>
      <c r="I140" s="6" t="s">
        <v>2217</v>
      </c>
      <c r="J140" s="6">
        <v>826</v>
      </c>
      <c r="K140" s="8">
        <v>229</v>
      </c>
      <c r="L140" s="6" t="s">
        <v>1806</v>
      </c>
      <c r="M140" s="6" t="s">
        <v>3928</v>
      </c>
      <c r="N140" s="6" t="s">
        <v>1807</v>
      </c>
      <c r="O140" s="6" t="s">
        <v>2218</v>
      </c>
      <c r="P140" s="6" t="s">
        <v>2218</v>
      </c>
      <c r="Q140" s="6" t="s">
        <v>1808</v>
      </c>
      <c r="R140" s="6" t="s">
        <v>2219</v>
      </c>
    </row>
    <row r="141" spans="1:18">
      <c r="A141" s="6" t="s">
        <v>2220</v>
      </c>
      <c r="B141" s="6" t="s">
        <v>2221</v>
      </c>
      <c r="C141" s="6" t="s">
        <v>2222</v>
      </c>
      <c r="F141" s="6" t="s">
        <v>2222</v>
      </c>
      <c r="G141" s="6" t="s">
        <v>2222</v>
      </c>
      <c r="H141" s="6" t="s">
        <v>2222</v>
      </c>
      <c r="J141" s="6">
        <v>308</v>
      </c>
      <c r="K141" s="8">
        <v>86</v>
      </c>
      <c r="L141" s="6" t="s">
        <v>1806</v>
      </c>
      <c r="M141" s="6" t="s">
        <v>3928</v>
      </c>
      <c r="N141" s="6" t="s">
        <v>1807</v>
      </c>
      <c r="O141" s="6" t="s">
        <v>1807</v>
      </c>
      <c r="P141" s="6" t="s">
        <v>1807</v>
      </c>
      <c r="Q141" s="6" t="s">
        <v>1808</v>
      </c>
      <c r="R141" s="6" t="s">
        <v>2223</v>
      </c>
    </row>
    <row r="142" spans="1:18">
      <c r="A142" s="6" t="s">
        <v>2224</v>
      </c>
      <c r="B142" s="6" t="s">
        <v>2225</v>
      </c>
      <c r="C142" s="6" t="s">
        <v>2226</v>
      </c>
      <c r="E142" s="6" t="s">
        <v>2226</v>
      </c>
      <c r="F142" s="6" t="s">
        <v>2226</v>
      </c>
      <c r="G142" s="6" t="s">
        <v>2226</v>
      </c>
      <c r="H142" s="6" t="s">
        <v>2226</v>
      </c>
      <c r="I142" s="6" t="s">
        <v>1725</v>
      </c>
      <c r="J142" s="6">
        <v>268</v>
      </c>
      <c r="K142" s="8">
        <v>73</v>
      </c>
      <c r="L142" s="6" t="s">
        <v>1806</v>
      </c>
      <c r="M142" s="6" t="s">
        <v>3928</v>
      </c>
      <c r="N142" s="6" t="s">
        <v>1807</v>
      </c>
      <c r="O142" s="6" t="s">
        <v>1807</v>
      </c>
      <c r="P142" s="6" t="s">
        <v>1807</v>
      </c>
      <c r="Q142" s="6" t="s">
        <v>1808</v>
      </c>
      <c r="R142" s="6" t="s">
        <v>2227</v>
      </c>
    </row>
    <row r="143" spans="1:18">
      <c r="A143" s="6" t="s">
        <v>2228</v>
      </c>
      <c r="B143" s="6" t="s">
        <v>2229</v>
      </c>
      <c r="C143" s="6" t="s">
        <v>2230</v>
      </c>
      <c r="E143" s="6" t="s">
        <v>2230</v>
      </c>
      <c r="F143" s="6" t="s">
        <v>2230</v>
      </c>
      <c r="G143" s="6" t="s">
        <v>2230</v>
      </c>
      <c r="H143" s="6" t="s">
        <v>2230</v>
      </c>
      <c r="K143" s="8">
        <v>69</v>
      </c>
      <c r="L143" s="6" t="s">
        <v>2203</v>
      </c>
      <c r="M143" s="6" t="s">
        <v>1873</v>
      </c>
      <c r="N143" s="6" t="s">
        <v>2203</v>
      </c>
      <c r="O143" s="6" t="s">
        <v>2203</v>
      </c>
      <c r="P143" s="6" t="s">
        <v>1873</v>
      </c>
      <c r="Q143" s="6" t="s">
        <v>1874</v>
      </c>
      <c r="R143" s="6" t="s">
        <v>2231</v>
      </c>
    </row>
    <row r="144" spans="1:18">
      <c r="A144" s="6" t="s">
        <v>2232</v>
      </c>
      <c r="B144" s="6" t="s">
        <v>2233</v>
      </c>
      <c r="C144" s="6" t="s">
        <v>2234</v>
      </c>
      <c r="F144" s="6" t="s">
        <v>2234</v>
      </c>
      <c r="G144" s="6" t="s">
        <v>2234</v>
      </c>
      <c r="H144" s="6" t="s">
        <v>2234</v>
      </c>
      <c r="K144" s="8" t="s">
        <v>557</v>
      </c>
      <c r="L144" s="6" t="s">
        <v>1806</v>
      </c>
      <c r="M144" s="6" t="s">
        <v>3928</v>
      </c>
      <c r="N144" s="6" t="s">
        <v>1807</v>
      </c>
      <c r="O144" s="6" t="s">
        <v>1807</v>
      </c>
      <c r="P144" s="6" t="s">
        <v>1807</v>
      </c>
      <c r="Q144" s="6" t="s">
        <v>1808</v>
      </c>
      <c r="R144" s="6" t="s">
        <v>2235</v>
      </c>
    </row>
    <row r="145" spans="1:18">
      <c r="A145" s="6" t="s">
        <v>2236</v>
      </c>
      <c r="B145" s="6" t="s">
        <v>2237</v>
      </c>
      <c r="C145" s="6" t="s">
        <v>2238</v>
      </c>
      <c r="E145" s="6" t="s">
        <v>2238</v>
      </c>
      <c r="F145" s="6" t="s">
        <v>2238</v>
      </c>
      <c r="G145" s="6" t="s">
        <v>2238</v>
      </c>
      <c r="H145" s="6" t="s">
        <v>2238</v>
      </c>
      <c r="I145" s="6" t="s">
        <v>2239</v>
      </c>
      <c r="J145" s="6">
        <v>288</v>
      </c>
      <c r="K145" s="8">
        <v>81</v>
      </c>
      <c r="L145" s="6" t="s">
        <v>1806</v>
      </c>
      <c r="M145" s="6" t="s">
        <v>3928</v>
      </c>
      <c r="N145" s="6" t="s">
        <v>1807</v>
      </c>
      <c r="O145" s="6" t="s">
        <v>1807</v>
      </c>
      <c r="P145" s="6" t="s">
        <v>1807</v>
      </c>
      <c r="Q145" s="6" t="s">
        <v>1808</v>
      </c>
      <c r="R145" s="6" t="s">
        <v>2240</v>
      </c>
    </row>
    <row r="146" spans="1:18">
      <c r="A146" s="6" t="s">
        <v>2241</v>
      </c>
      <c r="B146" s="6" t="s">
        <v>2242</v>
      </c>
      <c r="C146" s="6" t="s">
        <v>2243</v>
      </c>
      <c r="F146" s="6" t="s">
        <v>2243</v>
      </c>
      <c r="G146" s="6" t="s">
        <v>2243</v>
      </c>
      <c r="H146" s="6" t="s">
        <v>2243</v>
      </c>
      <c r="J146" s="6">
        <v>292</v>
      </c>
      <c r="K146" s="8">
        <v>82</v>
      </c>
      <c r="L146" s="6" t="s">
        <v>1806</v>
      </c>
      <c r="M146" s="6" t="s">
        <v>3928</v>
      </c>
      <c r="N146" s="6" t="s">
        <v>1807</v>
      </c>
      <c r="O146" s="6" t="s">
        <v>1807</v>
      </c>
      <c r="P146" s="6" t="s">
        <v>1807</v>
      </c>
      <c r="Q146" s="6" t="s">
        <v>1808</v>
      </c>
      <c r="R146" s="6" t="s">
        <v>2244</v>
      </c>
    </row>
    <row r="147" spans="1:18">
      <c r="A147" s="6" t="s">
        <v>2245</v>
      </c>
      <c r="B147" s="6" t="s">
        <v>2246</v>
      </c>
      <c r="C147" s="6" t="s">
        <v>2247</v>
      </c>
      <c r="E147" s="6" t="s">
        <v>2247</v>
      </c>
      <c r="F147" s="6" t="s">
        <v>2247</v>
      </c>
      <c r="G147" s="6" t="s">
        <v>2247</v>
      </c>
      <c r="H147" s="6" t="s">
        <v>2247</v>
      </c>
      <c r="I147" s="6" t="s">
        <v>1735</v>
      </c>
      <c r="J147" s="6">
        <v>304</v>
      </c>
      <c r="K147" s="8">
        <v>85</v>
      </c>
      <c r="L147" s="6" t="s">
        <v>1806</v>
      </c>
      <c r="M147" s="6" t="s">
        <v>3928</v>
      </c>
      <c r="N147" s="6" t="s">
        <v>1807</v>
      </c>
      <c r="O147" s="6" t="s">
        <v>1807</v>
      </c>
      <c r="P147" s="6" t="s">
        <v>1807</v>
      </c>
      <c r="Q147" s="6" t="s">
        <v>1808</v>
      </c>
      <c r="R147" s="6" t="s">
        <v>2248</v>
      </c>
    </row>
    <row r="148" spans="1:18">
      <c r="A148" s="6" t="s">
        <v>2249</v>
      </c>
      <c r="B148" s="6" t="s">
        <v>2250</v>
      </c>
      <c r="C148" s="6" t="s">
        <v>2251</v>
      </c>
      <c r="F148" s="6" t="s">
        <v>2251</v>
      </c>
      <c r="G148" s="6" t="s">
        <v>2251</v>
      </c>
      <c r="H148" s="6" t="s">
        <v>2251</v>
      </c>
      <c r="I148" s="6" t="s">
        <v>2252</v>
      </c>
      <c r="J148" s="6">
        <v>270</v>
      </c>
      <c r="K148" s="8">
        <v>75</v>
      </c>
      <c r="L148" s="6" t="s">
        <v>1806</v>
      </c>
      <c r="M148" s="6" t="s">
        <v>3928</v>
      </c>
      <c r="N148" s="6" t="s">
        <v>1807</v>
      </c>
      <c r="O148" s="6" t="s">
        <v>1807</v>
      </c>
      <c r="P148" s="6" t="s">
        <v>1807</v>
      </c>
      <c r="Q148" s="6" t="s">
        <v>1808</v>
      </c>
      <c r="R148" s="6" t="s">
        <v>2253</v>
      </c>
    </row>
    <row r="149" spans="1:18">
      <c r="A149" s="6" t="s">
        <v>2254</v>
      </c>
      <c r="B149" s="6" t="s">
        <v>2255</v>
      </c>
      <c r="C149" s="6" t="s">
        <v>2256</v>
      </c>
      <c r="E149" s="6" t="s">
        <v>2256</v>
      </c>
      <c r="F149" s="6" t="s">
        <v>2256</v>
      </c>
      <c r="G149" s="6" t="s">
        <v>2256</v>
      </c>
      <c r="H149" s="6" t="s">
        <v>2256</v>
      </c>
      <c r="J149" s="6">
        <v>324</v>
      </c>
      <c r="K149" s="8">
        <v>90</v>
      </c>
      <c r="L149" s="6" t="s">
        <v>1806</v>
      </c>
      <c r="M149" s="6" t="s">
        <v>3928</v>
      </c>
      <c r="N149" s="6" t="s">
        <v>1807</v>
      </c>
      <c r="O149" s="6" t="s">
        <v>1807</v>
      </c>
      <c r="P149" s="6" t="s">
        <v>1807</v>
      </c>
      <c r="Q149" s="6" t="s">
        <v>1808</v>
      </c>
      <c r="R149" s="6" t="s">
        <v>2257</v>
      </c>
    </row>
    <row r="150" spans="1:18">
      <c r="A150" s="6" t="s">
        <v>2258</v>
      </c>
      <c r="B150" s="6" t="s">
        <v>2259</v>
      </c>
      <c r="C150" s="6" t="s">
        <v>2260</v>
      </c>
      <c r="F150" s="6" t="s">
        <v>2260</v>
      </c>
      <c r="G150" s="6" t="s">
        <v>2260</v>
      </c>
      <c r="H150" s="6" t="s">
        <v>2260</v>
      </c>
      <c r="K150" s="8">
        <v>87</v>
      </c>
      <c r="L150" s="6" t="s">
        <v>2203</v>
      </c>
      <c r="M150" s="6" t="s">
        <v>1873</v>
      </c>
      <c r="N150" s="6" t="s">
        <v>2203</v>
      </c>
      <c r="O150" s="6" t="s">
        <v>2203</v>
      </c>
      <c r="P150" s="6" t="s">
        <v>1873</v>
      </c>
      <c r="Q150" s="6" t="s">
        <v>1874</v>
      </c>
      <c r="R150" s="6" t="s">
        <v>2261</v>
      </c>
    </row>
    <row r="151" spans="1:18">
      <c r="A151" s="6" t="s">
        <v>2262</v>
      </c>
      <c r="B151" s="6" t="s">
        <v>2263</v>
      </c>
      <c r="C151" s="6" t="s">
        <v>2264</v>
      </c>
      <c r="E151" s="6" t="s">
        <v>2264</v>
      </c>
      <c r="F151" s="6" t="s">
        <v>2264</v>
      </c>
      <c r="G151" s="6" t="s">
        <v>2264</v>
      </c>
      <c r="H151" s="6" t="s">
        <v>2264</v>
      </c>
      <c r="I151" s="6" t="s">
        <v>2265</v>
      </c>
      <c r="J151" s="6">
        <v>226</v>
      </c>
      <c r="K151" s="8">
        <v>61</v>
      </c>
      <c r="L151" s="6" t="s">
        <v>1806</v>
      </c>
      <c r="M151" s="6" t="s">
        <v>3928</v>
      </c>
      <c r="N151" s="6" t="s">
        <v>1807</v>
      </c>
      <c r="O151" s="6" t="s">
        <v>1807</v>
      </c>
      <c r="P151" s="6" t="s">
        <v>1807</v>
      </c>
      <c r="Q151" s="6" t="s">
        <v>1808</v>
      </c>
      <c r="R151" s="6" t="s">
        <v>2266</v>
      </c>
    </row>
    <row r="152" spans="1:18">
      <c r="A152" s="6" t="s">
        <v>2267</v>
      </c>
      <c r="B152" s="6" t="s">
        <v>2268</v>
      </c>
      <c r="C152" s="6" t="s">
        <v>2269</v>
      </c>
      <c r="D152" s="6" t="s">
        <v>2270</v>
      </c>
      <c r="E152" s="6" t="s">
        <v>2269</v>
      </c>
      <c r="F152" s="6" t="s">
        <v>2269</v>
      </c>
      <c r="G152" s="6" t="s">
        <v>2269</v>
      </c>
      <c r="H152" s="6" t="s">
        <v>2269</v>
      </c>
      <c r="I152" s="6" t="s">
        <v>2271</v>
      </c>
      <c r="J152" s="6">
        <v>300</v>
      </c>
      <c r="K152" s="8">
        <v>84</v>
      </c>
      <c r="L152" s="6" t="s">
        <v>2267</v>
      </c>
      <c r="M152" s="6" t="s">
        <v>1873</v>
      </c>
      <c r="N152" s="6" t="s">
        <v>2267</v>
      </c>
      <c r="O152" s="6" t="s">
        <v>2267</v>
      </c>
      <c r="P152" s="6" t="s">
        <v>1873</v>
      </c>
      <c r="Q152" s="6" t="s">
        <v>1874</v>
      </c>
      <c r="R152" s="6" t="s">
        <v>2272</v>
      </c>
    </row>
    <row r="153" spans="1:18">
      <c r="A153" s="6" t="s">
        <v>2273</v>
      </c>
      <c r="B153" s="6" t="s">
        <v>2274</v>
      </c>
      <c r="C153" s="6" t="s">
        <v>2275</v>
      </c>
      <c r="F153" s="6" t="s">
        <v>2275</v>
      </c>
      <c r="G153" s="6" t="s">
        <v>2275</v>
      </c>
      <c r="H153" s="6" t="s">
        <v>2275</v>
      </c>
      <c r="K153" s="8">
        <v>271</v>
      </c>
      <c r="L153" s="6" t="s">
        <v>1806</v>
      </c>
      <c r="M153" s="6" t="s">
        <v>3928</v>
      </c>
      <c r="N153" s="6" t="s">
        <v>1807</v>
      </c>
      <c r="O153" s="6" t="s">
        <v>1807</v>
      </c>
      <c r="P153" s="6" t="s">
        <v>1807</v>
      </c>
      <c r="Q153" s="6" t="s">
        <v>1808</v>
      </c>
      <c r="R153" s="6" t="s">
        <v>2276</v>
      </c>
    </row>
    <row r="154" spans="1:18">
      <c r="A154" s="6" t="s">
        <v>2277</v>
      </c>
      <c r="B154" s="6" t="s">
        <v>2278</v>
      </c>
      <c r="C154" s="6" t="s">
        <v>2279</v>
      </c>
      <c r="E154" s="6" t="s">
        <v>2279</v>
      </c>
      <c r="F154" s="6" t="s">
        <v>2279</v>
      </c>
      <c r="G154" s="6" t="s">
        <v>2279</v>
      </c>
      <c r="H154" s="6" t="s">
        <v>2279</v>
      </c>
      <c r="I154" s="6" t="s">
        <v>2280</v>
      </c>
      <c r="J154" s="6">
        <v>320</v>
      </c>
      <c r="K154" s="8">
        <v>89</v>
      </c>
      <c r="L154" s="6" t="s">
        <v>1806</v>
      </c>
      <c r="M154" s="6" t="s">
        <v>3928</v>
      </c>
      <c r="N154" s="6" t="s">
        <v>1807</v>
      </c>
      <c r="O154" s="6" t="s">
        <v>1807</v>
      </c>
      <c r="P154" s="6" t="s">
        <v>1807</v>
      </c>
      <c r="Q154" s="6" t="s">
        <v>1808</v>
      </c>
      <c r="R154" s="6" t="s">
        <v>2281</v>
      </c>
    </row>
    <row r="155" spans="1:18">
      <c r="A155" s="6" t="s">
        <v>2282</v>
      </c>
      <c r="B155" s="6" t="s">
        <v>2283</v>
      </c>
      <c r="C155" s="6" t="s">
        <v>2284</v>
      </c>
      <c r="F155" s="6" t="s">
        <v>2284</v>
      </c>
      <c r="G155" s="6" t="s">
        <v>2284</v>
      </c>
      <c r="H155" s="6" t="s">
        <v>2284</v>
      </c>
      <c r="J155" s="6">
        <v>316</v>
      </c>
      <c r="K155" s="8">
        <v>88</v>
      </c>
      <c r="L155" s="6" t="s">
        <v>1806</v>
      </c>
      <c r="M155" s="6" t="s">
        <v>3928</v>
      </c>
      <c r="N155" s="6" t="s">
        <v>1807</v>
      </c>
      <c r="O155" s="6" t="s">
        <v>1807</v>
      </c>
      <c r="P155" s="6" t="s">
        <v>1807</v>
      </c>
      <c r="Q155" s="6" t="s">
        <v>1808</v>
      </c>
      <c r="R155" s="6" t="s">
        <v>2285</v>
      </c>
    </row>
    <row r="156" spans="1:18">
      <c r="A156" s="6" t="s">
        <v>2286</v>
      </c>
      <c r="B156" s="6" t="s">
        <v>2287</v>
      </c>
      <c r="C156" s="6" t="s">
        <v>2288</v>
      </c>
      <c r="F156" s="6" t="s">
        <v>2288</v>
      </c>
      <c r="G156" s="6" t="s">
        <v>2288</v>
      </c>
      <c r="H156" s="6" t="s">
        <v>2288</v>
      </c>
      <c r="I156" s="6" t="s">
        <v>2289</v>
      </c>
      <c r="J156" s="6">
        <v>624</v>
      </c>
      <c r="K156" s="8">
        <v>175</v>
      </c>
      <c r="L156" s="6" t="s">
        <v>1806</v>
      </c>
      <c r="M156" s="6" t="s">
        <v>3928</v>
      </c>
      <c r="N156" s="6" t="s">
        <v>1807</v>
      </c>
      <c r="O156" s="6" t="s">
        <v>1807</v>
      </c>
      <c r="P156" s="6" t="s">
        <v>1807</v>
      </c>
      <c r="Q156" s="6" t="s">
        <v>1808</v>
      </c>
      <c r="R156" s="6" t="s">
        <v>2290</v>
      </c>
    </row>
    <row r="157" spans="1:18">
      <c r="A157" s="6" t="s">
        <v>2291</v>
      </c>
      <c r="B157" s="6" t="s">
        <v>2292</v>
      </c>
      <c r="C157" s="6" t="s">
        <v>2293</v>
      </c>
      <c r="E157" s="6" t="s">
        <v>2293</v>
      </c>
      <c r="F157" s="6" t="s">
        <v>2293</v>
      </c>
      <c r="G157" s="6" t="s">
        <v>2293</v>
      </c>
      <c r="H157" s="6" t="s">
        <v>2293</v>
      </c>
      <c r="I157" s="6" t="s">
        <v>2294</v>
      </c>
      <c r="J157" s="6">
        <v>328</v>
      </c>
      <c r="K157" s="8">
        <v>91</v>
      </c>
      <c r="L157" s="6" t="s">
        <v>1806</v>
      </c>
      <c r="M157" s="6" t="s">
        <v>3928</v>
      </c>
      <c r="N157" s="6" t="s">
        <v>1807</v>
      </c>
      <c r="O157" s="6" t="s">
        <v>1807</v>
      </c>
      <c r="P157" s="6" t="s">
        <v>1807</v>
      </c>
      <c r="Q157" s="6" t="s">
        <v>1808</v>
      </c>
      <c r="R157" s="6" t="s">
        <v>2295</v>
      </c>
    </row>
    <row r="158" spans="1:18">
      <c r="A158" s="6" t="s">
        <v>2296</v>
      </c>
      <c r="B158" s="6" t="s">
        <v>2297</v>
      </c>
      <c r="C158" s="6" t="s">
        <v>2298</v>
      </c>
      <c r="E158" s="6" t="s">
        <v>2298</v>
      </c>
      <c r="F158" s="6" t="s">
        <v>2298</v>
      </c>
      <c r="G158" s="6" t="s">
        <v>2298</v>
      </c>
      <c r="H158" s="6" t="s">
        <v>2298</v>
      </c>
      <c r="I158" s="6" t="s">
        <v>2299</v>
      </c>
      <c r="J158" s="6">
        <v>344</v>
      </c>
      <c r="K158" s="8">
        <v>96</v>
      </c>
      <c r="L158" s="6" t="s">
        <v>1806</v>
      </c>
      <c r="M158" s="6" t="s">
        <v>3928</v>
      </c>
      <c r="N158" s="6" t="s">
        <v>1807</v>
      </c>
      <c r="O158" s="6" t="s">
        <v>2052</v>
      </c>
      <c r="P158" s="6" t="s">
        <v>2052</v>
      </c>
      <c r="Q158" s="6" t="s">
        <v>1808</v>
      </c>
      <c r="R158" s="6" t="s">
        <v>2300</v>
      </c>
    </row>
    <row r="159" spans="1:18">
      <c r="A159" s="6" t="s">
        <v>2301</v>
      </c>
      <c r="B159" s="6" t="s">
        <v>2302</v>
      </c>
      <c r="C159" s="6" t="s">
        <v>2303</v>
      </c>
      <c r="F159" s="6" t="s">
        <v>2303</v>
      </c>
      <c r="G159" s="6" t="s">
        <v>2303</v>
      </c>
      <c r="H159" s="6" t="s">
        <v>2303</v>
      </c>
      <c r="K159" s="8">
        <v>92</v>
      </c>
      <c r="L159" s="6" t="s">
        <v>1806</v>
      </c>
      <c r="M159" s="6" t="s">
        <v>3928</v>
      </c>
      <c r="N159" s="6" t="s">
        <v>1807</v>
      </c>
      <c r="O159" s="6" t="s">
        <v>1807</v>
      </c>
      <c r="P159" s="6" t="s">
        <v>1807</v>
      </c>
      <c r="Q159" s="6" t="s">
        <v>1808</v>
      </c>
      <c r="R159" s="6" t="s">
        <v>2304</v>
      </c>
    </row>
    <row r="160" spans="1:18">
      <c r="A160" s="6" t="s">
        <v>2305</v>
      </c>
      <c r="B160" s="6" t="s">
        <v>2306</v>
      </c>
      <c r="C160" s="6" t="s">
        <v>2307</v>
      </c>
      <c r="E160" s="6" t="s">
        <v>2307</v>
      </c>
      <c r="F160" s="6" t="s">
        <v>2307</v>
      </c>
      <c r="G160" s="6" t="s">
        <v>2307</v>
      </c>
      <c r="H160" s="6" t="s">
        <v>2307</v>
      </c>
      <c r="I160" s="6" t="s">
        <v>2308</v>
      </c>
      <c r="J160" s="6">
        <v>340</v>
      </c>
      <c r="K160" s="8">
        <v>95</v>
      </c>
      <c r="L160" s="6" t="s">
        <v>1806</v>
      </c>
      <c r="M160" s="6" t="s">
        <v>3928</v>
      </c>
      <c r="N160" s="6" t="s">
        <v>1807</v>
      </c>
      <c r="O160" s="6" t="s">
        <v>1807</v>
      </c>
      <c r="P160" s="6" t="s">
        <v>1807</v>
      </c>
      <c r="Q160" s="6" t="s">
        <v>1808</v>
      </c>
      <c r="R160" s="6" t="s">
        <v>2309</v>
      </c>
    </row>
    <row r="161" spans="1:18">
      <c r="A161" s="6" t="s">
        <v>2310</v>
      </c>
      <c r="B161" s="6" t="s">
        <v>2311</v>
      </c>
      <c r="C161" s="6" t="s">
        <v>2312</v>
      </c>
      <c r="D161" s="6" t="s">
        <v>2313</v>
      </c>
      <c r="E161" s="6" t="s">
        <v>2312</v>
      </c>
      <c r="F161" s="6" t="s">
        <v>2312</v>
      </c>
      <c r="G161" s="6" t="s">
        <v>2312</v>
      </c>
      <c r="H161" s="6" t="s">
        <v>2312</v>
      </c>
      <c r="I161" s="6" t="s">
        <v>1700</v>
      </c>
      <c r="J161" s="6">
        <v>191</v>
      </c>
      <c r="K161" s="8">
        <v>98</v>
      </c>
      <c r="L161" s="6" t="s">
        <v>2310</v>
      </c>
      <c r="M161" s="6" t="s">
        <v>1873</v>
      </c>
      <c r="N161" s="6" t="s">
        <v>2310</v>
      </c>
      <c r="O161" s="6" t="s">
        <v>2310</v>
      </c>
      <c r="P161" s="6" t="s">
        <v>1873</v>
      </c>
      <c r="Q161" s="6" t="s">
        <v>1874</v>
      </c>
      <c r="R161" s="6" t="s">
        <v>2314</v>
      </c>
    </row>
    <row r="162" spans="1:18">
      <c r="A162" s="6" t="s">
        <v>2315</v>
      </c>
      <c r="B162" s="6" t="s">
        <v>2316</v>
      </c>
      <c r="C162" s="6" t="s">
        <v>2317</v>
      </c>
      <c r="F162" s="6" t="s">
        <v>2317</v>
      </c>
      <c r="G162" s="6" t="s">
        <v>2317</v>
      </c>
      <c r="H162" s="6" t="s">
        <v>2317</v>
      </c>
      <c r="I162" s="6" t="s">
        <v>1741</v>
      </c>
      <c r="J162" s="6">
        <v>332</v>
      </c>
      <c r="K162" s="8">
        <v>93</v>
      </c>
      <c r="L162" s="6" t="s">
        <v>1806</v>
      </c>
      <c r="M162" s="6" t="s">
        <v>3928</v>
      </c>
      <c r="N162" s="6" t="s">
        <v>1807</v>
      </c>
      <c r="O162" s="6" t="s">
        <v>1807</v>
      </c>
      <c r="P162" s="6" t="s">
        <v>1807</v>
      </c>
      <c r="Q162" s="6" t="s">
        <v>1808</v>
      </c>
      <c r="R162" s="6" t="s">
        <v>2318</v>
      </c>
    </row>
    <row r="163" spans="1:18">
      <c r="A163" s="6" t="s">
        <v>2319</v>
      </c>
      <c r="B163" s="6" t="s">
        <v>2320</v>
      </c>
      <c r="C163" s="6" t="s">
        <v>2321</v>
      </c>
      <c r="D163" s="6" t="s">
        <v>1980</v>
      </c>
      <c r="E163" s="6" t="s">
        <v>2321</v>
      </c>
      <c r="F163" s="6" t="s">
        <v>2321</v>
      </c>
      <c r="G163" s="6" t="s">
        <v>2321</v>
      </c>
      <c r="H163" s="6" t="s">
        <v>2321</v>
      </c>
      <c r="I163" s="6" t="s">
        <v>2322</v>
      </c>
      <c r="J163" s="6">
        <v>348</v>
      </c>
      <c r="K163" s="8">
        <v>97</v>
      </c>
      <c r="L163" s="6" t="s">
        <v>2319</v>
      </c>
      <c r="M163" s="6" t="s">
        <v>1873</v>
      </c>
      <c r="N163" s="6" t="s">
        <v>2319</v>
      </c>
      <c r="O163" s="6" t="s">
        <v>2319</v>
      </c>
      <c r="P163" s="6" t="s">
        <v>1873</v>
      </c>
      <c r="Q163" s="6" t="s">
        <v>1874</v>
      </c>
      <c r="R163" s="6" t="s">
        <v>2323</v>
      </c>
    </row>
    <row r="164" spans="1:18">
      <c r="A164" s="6" t="s">
        <v>2324</v>
      </c>
      <c r="B164" s="6" t="s">
        <v>2325</v>
      </c>
      <c r="C164" s="6" t="s">
        <v>2326</v>
      </c>
      <c r="E164" s="6" t="s">
        <v>2326</v>
      </c>
      <c r="F164" s="6" t="s">
        <v>2326</v>
      </c>
      <c r="G164" s="6" t="s">
        <v>2326</v>
      </c>
      <c r="H164" s="6" t="s">
        <v>2326</v>
      </c>
      <c r="I164" s="6" t="s">
        <v>1744</v>
      </c>
      <c r="J164" s="6">
        <v>360</v>
      </c>
      <c r="K164" s="8">
        <v>101</v>
      </c>
      <c r="L164" s="6" t="s">
        <v>1806</v>
      </c>
      <c r="M164" s="6" t="s">
        <v>3928</v>
      </c>
      <c r="N164" s="6" t="s">
        <v>1807</v>
      </c>
      <c r="O164" s="6" t="s">
        <v>2324</v>
      </c>
      <c r="P164" s="6" t="s">
        <v>2324</v>
      </c>
      <c r="Q164" s="6" t="s">
        <v>1808</v>
      </c>
      <c r="R164" s="6" t="s">
        <v>2327</v>
      </c>
    </row>
    <row r="165" spans="1:18">
      <c r="A165" s="6" t="s">
        <v>2328</v>
      </c>
      <c r="B165" s="6" t="s">
        <v>2329</v>
      </c>
      <c r="C165" s="6" t="s">
        <v>2330</v>
      </c>
      <c r="D165" s="6" t="s">
        <v>2331</v>
      </c>
      <c r="E165" s="6" t="s">
        <v>2330</v>
      </c>
      <c r="F165" s="9" t="s">
        <v>2332</v>
      </c>
      <c r="G165" s="6" t="s">
        <v>2330</v>
      </c>
      <c r="H165" s="6" t="s">
        <v>2330</v>
      </c>
      <c r="I165" s="6" t="s">
        <v>2333</v>
      </c>
      <c r="J165" s="6">
        <v>372</v>
      </c>
      <c r="K165" s="8">
        <v>104</v>
      </c>
      <c r="L165" s="6" t="s">
        <v>2328</v>
      </c>
      <c r="M165" s="6" t="s">
        <v>1873</v>
      </c>
      <c r="N165" s="6" t="s">
        <v>2328</v>
      </c>
      <c r="O165" s="6" t="s">
        <v>2328</v>
      </c>
      <c r="P165" s="6" t="s">
        <v>1873</v>
      </c>
      <c r="Q165" s="6" t="s">
        <v>1874</v>
      </c>
      <c r="R165" s="6" t="s">
        <v>2334</v>
      </c>
    </row>
    <row r="166" spans="1:18">
      <c r="A166" s="6" t="s">
        <v>2335</v>
      </c>
      <c r="B166" s="6" t="s">
        <v>2336</v>
      </c>
      <c r="C166" s="6" t="s">
        <v>2337</v>
      </c>
      <c r="E166" s="6" t="s">
        <v>2337</v>
      </c>
      <c r="F166" s="6" t="s">
        <v>2337</v>
      </c>
      <c r="G166" s="6" t="s">
        <v>2337</v>
      </c>
      <c r="H166" s="6" t="s">
        <v>2337</v>
      </c>
      <c r="I166" s="6" t="s">
        <v>2338</v>
      </c>
      <c r="J166" s="6">
        <v>376</v>
      </c>
      <c r="K166" s="8">
        <v>105</v>
      </c>
      <c r="L166" s="6" t="s">
        <v>1806</v>
      </c>
      <c r="M166" s="6" t="s">
        <v>3928</v>
      </c>
      <c r="N166" s="6" t="s">
        <v>1807</v>
      </c>
      <c r="O166" s="6" t="s">
        <v>1807</v>
      </c>
      <c r="P166" s="6" t="s">
        <v>1807</v>
      </c>
      <c r="Q166" s="6" t="s">
        <v>1808</v>
      </c>
      <c r="R166" s="6" t="s">
        <v>2339</v>
      </c>
    </row>
    <row r="167" spans="1:18">
      <c r="A167" s="6" t="s">
        <v>2340</v>
      </c>
      <c r="B167" s="6" t="s">
        <v>2341</v>
      </c>
      <c r="C167" s="6" t="s">
        <v>2342</v>
      </c>
      <c r="F167" s="6" t="s">
        <v>2342</v>
      </c>
      <c r="G167" s="6" t="s">
        <v>2342</v>
      </c>
      <c r="H167" s="6" t="s">
        <v>2342</v>
      </c>
      <c r="K167" s="8">
        <v>264</v>
      </c>
      <c r="L167" s="6" t="s">
        <v>1806</v>
      </c>
      <c r="M167" s="6" t="s">
        <v>3928</v>
      </c>
      <c r="N167" s="6" t="s">
        <v>1807</v>
      </c>
      <c r="O167" s="6" t="s">
        <v>1807</v>
      </c>
      <c r="P167" s="6" t="s">
        <v>1807</v>
      </c>
      <c r="Q167" s="6" t="s">
        <v>1808</v>
      </c>
      <c r="R167" s="6" t="s">
        <v>2343</v>
      </c>
    </row>
    <row r="168" spans="1:18">
      <c r="A168" s="6" t="s">
        <v>2344</v>
      </c>
      <c r="B168" s="6" t="s">
        <v>2345</v>
      </c>
      <c r="C168" s="6" t="s">
        <v>2346</v>
      </c>
      <c r="E168" s="6" t="s">
        <v>2346</v>
      </c>
      <c r="F168" s="6" t="s">
        <v>2346</v>
      </c>
      <c r="G168" s="6" t="s">
        <v>2346</v>
      </c>
      <c r="H168" s="6" t="s">
        <v>2346</v>
      </c>
      <c r="I168" s="6" t="s">
        <v>2347</v>
      </c>
      <c r="J168" s="6">
        <v>699</v>
      </c>
      <c r="K168" s="8">
        <v>100</v>
      </c>
      <c r="L168" s="6" t="s">
        <v>1806</v>
      </c>
      <c r="M168" s="6" t="s">
        <v>3928</v>
      </c>
      <c r="N168" s="6" t="s">
        <v>1807</v>
      </c>
      <c r="O168" s="6" t="s">
        <v>2344</v>
      </c>
      <c r="P168" s="6" t="s">
        <v>2344</v>
      </c>
      <c r="Q168" s="6" t="s">
        <v>1808</v>
      </c>
      <c r="R168" s="6" t="s">
        <v>2348</v>
      </c>
    </row>
    <row r="169" spans="1:18">
      <c r="A169" s="6" t="s">
        <v>2349</v>
      </c>
      <c r="B169" s="6" t="s">
        <v>2350</v>
      </c>
      <c r="C169" s="6" t="s">
        <v>2351</v>
      </c>
      <c r="F169" s="6" t="s">
        <v>2351</v>
      </c>
      <c r="G169" s="6" t="s">
        <v>2351</v>
      </c>
      <c r="H169" s="6" t="s">
        <v>2351</v>
      </c>
      <c r="J169" s="6">
        <v>86</v>
      </c>
      <c r="K169" s="8">
        <v>24</v>
      </c>
      <c r="L169" s="6" t="s">
        <v>1806</v>
      </c>
      <c r="M169" s="6" t="s">
        <v>3928</v>
      </c>
      <c r="N169" s="6" t="s">
        <v>1807</v>
      </c>
      <c r="O169" s="6" t="s">
        <v>1807</v>
      </c>
      <c r="P169" s="6" t="s">
        <v>1807</v>
      </c>
      <c r="Q169" s="6" t="s">
        <v>1808</v>
      </c>
      <c r="R169" s="6" t="s">
        <v>2352</v>
      </c>
    </row>
    <row r="170" spans="1:18">
      <c r="A170" s="6" t="s">
        <v>2353</v>
      </c>
      <c r="B170" s="6" t="s">
        <v>2354</v>
      </c>
      <c r="C170" s="6" t="s">
        <v>2355</v>
      </c>
      <c r="E170" s="6" t="s">
        <v>2355</v>
      </c>
      <c r="F170" s="6" t="s">
        <v>2355</v>
      </c>
      <c r="G170" s="6" t="s">
        <v>2355</v>
      </c>
      <c r="H170" s="6" t="s">
        <v>2355</v>
      </c>
      <c r="I170" s="6" t="s">
        <v>2356</v>
      </c>
      <c r="J170" s="6">
        <v>368</v>
      </c>
      <c r="K170" s="8">
        <v>103</v>
      </c>
      <c r="L170" s="6" t="s">
        <v>1806</v>
      </c>
      <c r="M170" s="6" t="s">
        <v>3928</v>
      </c>
      <c r="N170" s="6" t="s">
        <v>1807</v>
      </c>
      <c r="O170" s="6" t="s">
        <v>1807</v>
      </c>
      <c r="P170" s="6" t="s">
        <v>1807</v>
      </c>
      <c r="Q170" s="6" t="s">
        <v>1808</v>
      </c>
      <c r="R170" s="6" t="s">
        <v>2357</v>
      </c>
    </row>
    <row r="171" spans="1:18">
      <c r="A171" s="6" t="s">
        <v>2358</v>
      </c>
      <c r="B171" s="6" t="s">
        <v>2359</v>
      </c>
      <c r="C171" s="6" t="s">
        <v>2360</v>
      </c>
      <c r="E171" s="6" t="s">
        <v>2360</v>
      </c>
      <c r="F171" s="6" t="s">
        <v>2360</v>
      </c>
      <c r="G171" s="6" t="s">
        <v>2360</v>
      </c>
      <c r="H171" s="6" t="s">
        <v>2360</v>
      </c>
      <c r="I171" s="6" t="s">
        <v>2361</v>
      </c>
      <c r="J171" s="6">
        <v>364</v>
      </c>
      <c r="K171" s="8">
        <v>102</v>
      </c>
      <c r="L171" s="6" t="s">
        <v>1806</v>
      </c>
      <c r="M171" s="6" t="s">
        <v>3928</v>
      </c>
      <c r="N171" s="6" t="s">
        <v>1807</v>
      </c>
      <c r="O171" s="6" t="s">
        <v>1807</v>
      </c>
      <c r="P171" s="6" t="s">
        <v>1807</v>
      </c>
      <c r="Q171" s="6" t="s">
        <v>1808</v>
      </c>
      <c r="R171" s="6" t="s">
        <v>2362</v>
      </c>
    </row>
    <row r="172" spans="1:18">
      <c r="A172" s="6" t="s">
        <v>2363</v>
      </c>
      <c r="B172" s="6" t="s">
        <v>2364</v>
      </c>
      <c r="C172" s="6" t="s">
        <v>2365</v>
      </c>
      <c r="D172" s="6" t="s">
        <v>1850</v>
      </c>
      <c r="E172" s="6" t="s">
        <v>2365</v>
      </c>
      <c r="F172" s="6" t="s">
        <v>2365</v>
      </c>
      <c r="G172" s="6" t="s">
        <v>2365</v>
      </c>
      <c r="H172" s="6" t="s">
        <v>2365</v>
      </c>
      <c r="I172" s="6" t="s">
        <v>1742</v>
      </c>
      <c r="J172" s="6">
        <v>352</v>
      </c>
      <c r="K172" s="8">
        <v>99</v>
      </c>
      <c r="L172" s="6" t="s">
        <v>1806</v>
      </c>
      <c r="M172" s="6" t="s">
        <v>3928</v>
      </c>
      <c r="N172" s="6" t="s">
        <v>1807</v>
      </c>
      <c r="O172" s="6" t="s">
        <v>1807</v>
      </c>
      <c r="P172" s="6" t="s">
        <v>1807</v>
      </c>
      <c r="Q172" s="6" t="s">
        <v>1808</v>
      </c>
      <c r="R172" s="6" t="s">
        <v>2366</v>
      </c>
    </row>
    <row r="173" spans="1:18">
      <c r="A173" s="6" t="s">
        <v>2367</v>
      </c>
      <c r="B173" s="6" t="s">
        <v>2368</v>
      </c>
      <c r="C173" s="6" t="s">
        <v>2369</v>
      </c>
      <c r="D173" s="6" t="s">
        <v>2370</v>
      </c>
      <c r="E173" s="6" t="s">
        <v>2369</v>
      </c>
      <c r="F173" s="6" t="s">
        <v>2369</v>
      </c>
      <c r="G173" s="6" t="s">
        <v>2369</v>
      </c>
      <c r="H173" s="6" t="s">
        <v>2369</v>
      </c>
      <c r="I173" s="6" t="s">
        <v>2371</v>
      </c>
      <c r="J173" s="6">
        <v>380</v>
      </c>
      <c r="K173" s="8">
        <v>106</v>
      </c>
      <c r="L173" s="6" t="s">
        <v>2367</v>
      </c>
      <c r="M173" s="6" t="s">
        <v>1873</v>
      </c>
      <c r="N173" s="6" t="s">
        <v>2367</v>
      </c>
      <c r="O173" s="6" t="s">
        <v>2367</v>
      </c>
      <c r="P173" s="6" t="s">
        <v>1873</v>
      </c>
      <c r="Q173" s="6" t="s">
        <v>1874</v>
      </c>
      <c r="R173" s="6" t="s">
        <v>2372</v>
      </c>
    </row>
    <row r="174" spans="1:18">
      <c r="A174" s="6" t="s">
        <v>2373</v>
      </c>
      <c r="B174" s="6" t="s">
        <v>2374</v>
      </c>
      <c r="C174" s="6" t="s">
        <v>2375</v>
      </c>
      <c r="F174" s="6" t="s">
        <v>2375</v>
      </c>
      <c r="G174" s="6" t="s">
        <v>2375</v>
      </c>
      <c r="H174" s="6" t="s">
        <v>2375</v>
      </c>
      <c r="K174" s="8">
        <v>283</v>
      </c>
      <c r="L174" s="6" t="s">
        <v>1806</v>
      </c>
      <c r="M174" s="6" t="s">
        <v>3928</v>
      </c>
      <c r="N174" s="6" t="s">
        <v>1807</v>
      </c>
      <c r="O174" s="6" t="s">
        <v>1807</v>
      </c>
      <c r="P174" s="6" t="s">
        <v>1807</v>
      </c>
      <c r="Q174" s="6" t="s">
        <v>1808</v>
      </c>
      <c r="R174" s="6" t="s">
        <v>2376</v>
      </c>
    </row>
    <row r="175" spans="1:18">
      <c r="A175" s="6" t="s">
        <v>2377</v>
      </c>
      <c r="B175" s="6" t="s">
        <v>2378</v>
      </c>
      <c r="C175" s="6" t="s">
        <v>2379</v>
      </c>
      <c r="E175" s="6" t="s">
        <v>2379</v>
      </c>
      <c r="F175" s="6" t="s">
        <v>2379</v>
      </c>
      <c r="G175" s="6" t="s">
        <v>2379</v>
      </c>
      <c r="H175" s="6" t="s">
        <v>2379</v>
      </c>
      <c r="I175" s="6" t="s">
        <v>2380</v>
      </c>
      <c r="J175" s="6">
        <v>388</v>
      </c>
      <c r="K175" s="8">
        <v>109</v>
      </c>
      <c r="L175" s="6" t="s">
        <v>1806</v>
      </c>
      <c r="M175" s="6" t="s">
        <v>3928</v>
      </c>
      <c r="N175" s="6" t="s">
        <v>1807</v>
      </c>
      <c r="O175" s="6" t="s">
        <v>1807</v>
      </c>
      <c r="P175" s="6" t="s">
        <v>1807</v>
      </c>
      <c r="Q175" s="6" t="s">
        <v>1808</v>
      </c>
      <c r="R175" s="6" t="s">
        <v>2381</v>
      </c>
    </row>
    <row r="176" spans="1:18">
      <c r="A176" s="6" t="s">
        <v>2382</v>
      </c>
      <c r="B176" s="6" t="s">
        <v>2383</v>
      </c>
      <c r="C176" s="6" t="s">
        <v>2384</v>
      </c>
      <c r="E176" s="6" t="s">
        <v>2384</v>
      </c>
      <c r="F176" s="6" t="s">
        <v>2384</v>
      </c>
      <c r="G176" s="6" t="s">
        <v>2384</v>
      </c>
      <c r="H176" s="6" t="s">
        <v>2384</v>
      </c>
      <c r="I176" s="6" t="s">
        <v>2385</v>
      </c>
      <c r="J176" s="6">
        <v>400</v>
      </c>
      <c r="K176" s="8">
        <v>112</v>
      </c>
      <c r="L176" s="6" t="s">
        <v>1806</v>
      </c>
      <c r="M176" s="6" t="s">
        <v>3928</v>
      </c>
      <c r="N176" s="6" t="s">
        <v>1807</v>
      </c>
      <c r="O176" s="6" t="s">
        <v>1807</v>
      </c>
      <c r="P176" s="6" t="s">
        <v>1807</v>
      </c>
      <c r="Q176" s="6" t="s">
        <v>1808</v>
      </c>
      <c r="R176" s="6" t="s">
        <v>2386</v>
      </c>
    </row>
    <row r="177" spans="1:18">
      <c r="A177" s="6" t="s">
        <v>2387</v>
      </c>
      <c r="B177" s="6" t="s">
        <v>2388</v>
      </c>
      <c r="C177" s="6" t="s">
        <v>2389</v>
      </c>
      <c r="E177" s="6" t="s">
        <v>2389</v>
      </c>
      <c r="F177" s="6" t="s">
        <v>2389</v>
      </c>
      <c r="G177" s="6" t="s">
        <v>2389</v>
      </c>
      <c r="H177" s="6" t="s">
        <v>2389</v>
      </c>
      <c r="I177" s="6" t="s">
        <v>2390</v>
      </c>
      <c r="J177" s="6">
        <v>392</v>
      </c>
      <c r="K177" s="8">
        <v>110</v>
      </c>
      <c r="L177" s="6" t="s">
        <v>1806</v>
      </c>
      <c r="M177" s="6" t="s">
        <v>3928</v>
      </c>
      <c r="N177" s="6" t="s">
        <v>1807</v>
      </c>
      <c r="O177" s="6" t="s">
        <v>2387</v>
      </c>
      <c r="P177" s="6" t="s">
        <v>2387</v>
      </c>
      <c r="Q177" s="6" t="s">
        <v>1808</v>
      </c>
      <c r="R177" s="6" t="s">
        <v>2391</v>
      </c>
    </row>
    <row r="178" spans="1:18">
      <c r="A178" s="6" t="s">
        <v>2392</v>
      </c>
      <c r="B178" s="6" t="s">
        <v>2393</v>
      </c>
      <c r="C178" s="6" t="s">
        <v>2394</v>
      </c>
      <c r="E178" s="6" t="s">
        <v>2394</v>
      </c>
      <c r="F178" s="6" t="s">
        <v>2394</v>
      </c>
      <c r="G178" s="6" t="s">
        <v>2394</v>
      </c>
      <c r="H178" s="6" t="s">
        <v>2394</v>
      </c>
      <c r="I178" s="6" t="s">
        <v>2395</v>
      </c>
      <c r="J178" s="6">
        <v>404</v>
      </c>
      <c r="K178" s="8">
        <v>114</v>
      </c>
      <c r="L178" s="6" t="s">
        <v>1806</v>
      </c>
      <c r="M178" s="6" t="s">
        <v>3928</v>
      </c>
      <c r="N178" s="6" t="s">
        <v>1807</v>
      </c>
      <c r="O178" s="6" t="s">
        <v>1807</v>
      </c>
      <c r="P178" s="6" t="s">
        <v>1807</v>
      </c>
      <c r="Q178" s="6" t="s">
        <v>1808</v>
      </c>
      <c r="R178" s="6" t="s">
        <v>2396</v>
      </c>
    </row>
    <row r="179" spans="1:18">
      <c r="A179" s="6" t="s">
        <v>2397</v>
      </c>
      <c r="B179" s="6" t="s">
        <v>2398</v>
      </c>
      <c r="C179" s="6" t="s">
        <v>2399</v>
      </c>
      <c r="E179" s="6" t="s">
        <v>2400</v>
      </c>
      <c r="F179" s="6" t="s">
        <v>2399</v>
      </c>
      <c r="G179" s="6" t="s">
        <v>2399</v>
      </c>
      <c r="H179" s="6" t="s">
        <v>2399</v>
      </c>
      <c r="I179" s="6" t="s">
        <v>2401</v>
      </c>
      <c r="J179" s="6">
        <v>417</v>
      </c>
      <c r="K179" s="8">
        <v>113</v>
      </c>
      <c r="L179" s="6" t="s">
        <v>1806</v>
      </c>
      <c r="M179" s="6" t="s">
        <v>3928</v>
      </c>
      <c r="N179" s="6" t="s">
        <v>1807</v>
      </c>
      <c r="O179" s="6" t="s">
        <v>1807</v>
      </c>
      <c r="P179" s="6" t="s">
        <v>1807</v>
      </c>
      <c r="Q179" s="6" t="s">
        <v>1808</v>
      </c>
      <c r="R179" s="6" t="s">
        <v>2402</v>
      </c>
    </row>
    <row r="180" spans="1:18">
      <c r="A180" s="6" t="s">
        <v>2403</v>
      </c>
      <c r="B180" s="6" t="s">
        <v>2404</v>
      </c>
      <c r="C180" s="6" t="s">
        <v>2405</v>
      </c>
      <c r="E180" s="6" t="s">
        <v>2405</v>
      </c>
      <c r="F180" s="6" t="s">
        <v>2405</v>
      </c>
      <c r="G180" s="6" t="s">
        <v>2405</v>
      </c>
      <c r="H180" s="6" t="s">
        <v>2405</v>
      </c>
      <c r="I180" s="6" t="s">
        <v>2406</v>
      </c>
      <c r="J180" s="6">
        <v>116</v>
      </c>
      <c r="K180" s="8">
        <v>115</v>
      </c>
      <c r="L180" s="6" t="s">
        <v>1806</v>
      </c>
      <c r="M180" s="6" t="s">
        <v>3928</v>
      </c>
      <c r="N180" s="6" t="s">
        <v>1807</v>
      </c>
      <c r="O180" s="6" t="s">
        <v>1807</v>
      </c>
      <c r="P180" s="6" t="s">
        <v>1807</v>
      </c>
      <c r="Q180" s="6" t="s">
        <v>1808</v>
      </c>
      <c r="R180" s="6" t="s">
        <v>2407</v>
      </c>
    </row>
    <row r="181" spans="1:18">
      <c r="A181" s="6" t="s">
        <v>2408</v>
      </c>
      <c r="B181" s="6" t="s">
        <v>2409</v>
      </c>
      <c r="C181" s="6" t="s">
        <v>2410</v>
      </c>
      <c r="F181" s="6" t="s">
        <v>2410</v>
      </c>
      <c r="G181" s="6" t="s">
        <v>2410</v>
      </c>
      <c r="H181" s="6" t="s">
        <v>2410</v>
      </c>
      <c r="I181" s="6" t="s">
        <v>2411</v>
      </c>
      <c r="J181" s="6">
        <v>296</v>
      </c>
      <c r="K181" s="8">
        <v>83</v>
      </c>
      <c r="L181" s="6" t="s">
        <v>1806</v>
      </c>
      <c r="M181" s="6" t="s">
        <v>3928</v>
      </c>
      <c r="N181" s="6" t="s">
        <v>1807</v>
      </c>
      <c r="O181" s="6" t="s">
        <v>1807</v>
      </c>
      <c r="P181" s="6" t="s">
        <v>1807</v>
      </c>
      <c r="Q181" s="6" t="s">
        <v>1808</v>
      </c>
      <c r="R181" s="6" t="s">
        <v>2412</v>
      </c>
    </row>
    <row r="182" spans="1:18">
      <c r="A182" s="6" t="s">
        <v>2413</v>
      </c>
      <c r="B182" s="6" t="s">
        <v>2414</v>
      </c>
      <c r="C182" s="6" t="s">
        <v>2415</v>
      </c>
      <c r="F182" s="6" t="s">
        <v>2415</v>
      </c>
      <c r="G182" s="6" t="s">
        <v>2415</v>
      </c>
      <c r="H182" s="6" t="s">
        <v>2415</v>
      </c>
      <c r="J182" s="6">
        <v>174</v>
      </c>
      <c r="K182" s="8">
        <v>45</v>
      </c>
      <c r="L182" s="6" t="s">
        <v>1806</v>
      </c>
      <c r="M182" s="6" t="s">
        <v>3928</v>
      </c>
      <c r="N182" s="6" t="s">
        <v>1807</v>
      </c>
      <c r="O182" s="6" t="s">
        <v>1807</v>
      </c>
      <c r="P182" s="6" t="s">
        <v>1807</v>
      </c>
      <c r="Q182" s="6" t="s">
        <v>1808</v>
      </c>
      <c r="R182" s="6" t="s">
        <v>2416</v>
      </c>
    </row>
    <row r="183" spans="1:18">
      <c r="A183" s="6" t="s">
        <v>2417</v>
      </c>
      <c r="B183" s="6" t="s">
        <v>2418</v>
      </c>
      <c r="C183" s="6" t="s">
        <v>2419</v>
      </c>
      <c r="F183" s="6" t="s">
        <v>2419</v>
      </c>
      <c r="G183" s="6" t="s">
        <v>2419</v>
      </c>
      <c r="H183" s="6" t="s">
        <v>2419</v>
      </c>
      <c r="I183" s="6" t="s">
        <v>2420</v>
      </c>
      <c r="J183" s="6">
        <v>659</v>
      </c>
      <c r="K183" s="8">
        <v>188</v>
      </c>
      <c r="L183" s="6" t="s">
        <v>1806</v>
      </c>
      <c r="M183" s="6" t="s">
        <v>3928</v>
      </c>
      <c r="N183" s="6" t="s">
        <v>1807</v>
      </c>
      <c r="O183" s="6" t="s">
        <v>1807</v>
      </c>
      <c r="P183" s="6" t="s">
        <v>1807</v>
      </c>
      <c r="Q183" s="6" t="s">
        <v>1808</v>
      </c>
      <c r="R183" s="6" t="s">
        <v>2421</v>
      </c>
    </row>
    <row r="184" spans="1:18">
      <c r="A184" s="6" t="s">
        <v>2422</v>
      </c>
      <c r="B184" s="6" t="s">
        <v>2423</v>
      </c>
      <c r="C184" s="6" t="s">
        <v>2424</v>
      </c>
      <c r="E184" s="6" t="s">
        <v>2425</v>
      </c>
      <c r="F184" s="9" t="s">
        <v>2426</v>
      </c>
      <c r="G184" s="6" t="s">
        <v>2424</v>
      </c>
      <c r="H184" s="6" t="s">
        <v>2424</v>
      </c>
      <c r="J184" s="6">
        <v>408</v>
      </c>
      <c r="K184" s="8">
        <v>116</v>
      </c>
      <c r="L184" s="6" t="s">
        <v>1806</v>
      </c>
      <c r="M184" s="6" t="s">
        <v>3928</v>
      </c>
      <c r="N184" s="6" t="s">
        <v>1807</v>
      </c>
      <c r="O184" s="6" t="s">
        <v>1807</v>
      </c>
      <c r="P184" s="6" t="s">
        <v>1807</v>
      </c>
      <c r="Q184" s="6" t="s">
        <v>1808</v>
      </c>
      <c r="R184" s="6" t="s">
        <v>2427</v>
      </c>
    </row>
    <row r="185" spans="1:18">
      <c r="A185" s="6" t="s">
        <v>2428</v>
      </c>
      <c r="B185" s="6" t="s">
        <v>2429</v>
      </c>
      <c r="C185" s="6" t="s">
        <v>2430</v>
      </c>
      <c r="E185" s="6" t="s">
        <v>2431</v>
      </c>
      <c r="F185" s="9" t="s">
        <v>2432</v>
      </c>
      <c r="G185" s="6" t="s">
        <v>2430</v>
      </c>
      <c r="H185" s="6" t="s">
        <v>2433</v>
      </c>
      <c r="I185" s="6" t="s">
        <v>2434</v>
      </c>
      <c r="J185" s="6">
        <v>410</v>
      </c>
      <c r="K185" s="8">
        <v>117</v>
      </c>
      <c r="L185" s="6" t="s">
        <v>1806</v>
      </c>
      <c r="M185" s="6" t="s">
        <v>3928</v>
      </c>
      <c r="N185" s="6" t="s">
        <v>1807</v>
      </c>
      <c r="O185" s="6" t="s">
        <v>2428</v>
      </c>
      <c r="P185" s="6" t="s">
        <v>2428</v>
      </c>
      <c r="Q185" s="6" t="s">
        <v>1808</v>
      </c>
      <c r="R185" s="6" t="s">
        <v>2435</v>
      </c>
    </row>
    <row r="186" spans="1:18">
      <c r="A186" s="6" t="s">
        <v>2436</v>
      </c>
      <c r="B186" s="6" t="s">
        <v>2437</v>
      </c>
      <c r="C186" s="6" t="s">
        <v>2438</v>
      </c>
      <c r="E186" s="6" t="s">
        <v>2438</v>
      </c>
      <c r="F186" s="6" t="s">
        <v>2438</v>
      </c>
      <c r="G186" s="6" t="s">
        <v>2438</v>
      </c>
      <c r="H186" s="6" t="s">
        <v>2438</v>
      </c>
      <c r="I186" s="6" t="s">
        <v>2439</v>
      </c>
      <c r="J186" s="6">
        <v>414</v>
      </c>
      <c r="K186" s="8">
        <v>118</v>
      </c>
      <c r="L186" s="6" t="s">
        <v>1806</v>
      </c>
      <c r="M186" s="6" t="s">
        <v>3928</v>
      </c>
      <c r="N186" s="6" t="s">
        <v>1807</v>
      </c>
      <c r="O186" s="6" t="s">
        <v>1807</v>
      </c>
      <c r="P186" s="6" t="s">
        <v>1807</v>
      </c>
      <c r="Q186" s="6" t="s">
        <v>1808</v>
      </c>
      <c r="R186" s="6" t="s">
        <v>2440</v>
      </c>
    </row>
    <row r="187" spans="1:18">
      <c r="A187" s="6" t="s">
        <v>2441</v>
      </c>
      <c r="B187" s="6" t="s">
        <v>2442</v>
      </c>
      <c r="C187" s="6" t="s">
        <v>2443</v>
      </c>
      <c r="F187" s="6" t="s">
        <v>2443</v>
      </c>
      <c r="G187" s="6" t="s">
        <v>2443</v>
      </c>
      <c r="H187" s="6" t="s">
        <v>2443</v>
      </c>
      <c r="I187" s="6" t="s">
        <v>2444</v>
      </c>
      <c r="J187" s="6">
        <v>136</v>
      </c>
      <c r="K187" s="8">
        <v>36</v>
      </c>
      <c r="L187" s="6" t="s">
        <v>1806</v>
      </c>
      <c r="M187" s="6" t="s">
        <v>3928</v>
      </c>
      <c r="N187" s="6" t="s">
        <v>1807</v>
      </c>
      <c r="O187" s="6" t="s">
        <v>1807</v>
      </c>
      <c r="P187" s="6" t="s">
        <v>1807</v>
      </c>
      <c r="Q187" s="6" t="s">
        <v>1808</v>
      </c>
      <c r="R187" s="6" t="s">
        <v>2445</v>
      </c>
    </row>
    <row r="188" spans="1:18">
      <c r="A188" s="6" t="s">
        <v>2446</v>
      </c>
      <c r="B188" s="6" t="s">
        <v>2447</v>
      </c>
      <c r="C188" s="6" t="s">
        <v>2448</v>
      </c>
      <c r="E188" s="6" t="s">
        <v>2448</v>
      </c>
      <c r="F188" s="6" t="s">
        <v>2448</v>
      </c>
      <c r="G188" s="6" t="s">
        <v>2448</v>
      </c>
      <c r="H188" s="6" t="s">
        <v>2448</v>
      </c>
      <c r="I188" s="6" t="s">
        <v>2449</v>
      </c>
      <c r="J188" s="6">
        <v>398</v>
      </c>
      <c r="K188" s="8">
        <v>108</v>
      </c>
      <c r="L188" s="6" t="s">
        <v>1806</v>
      </c>
      <c r="M188" s="6" t="s">
        <v>3928</v>
      </c>
      <c r="N188" s="6" t="s">
        <v>1807</v>
      </c>
      <c r="O188" s="6" t="s">
        <v>1807</v>
      </c>
      <c r="P188" s="6" t="s">
        <v>1807</v>
      </c>
      <c r="Q188" s="6" t="s">
        <v>1808</v>
      </c>
      <c r="R188" s="6" t="s">
        <v>2450</v>
      </c>
    </row>
    <row r="189" spans="1:18">
      <c r="A189" s="6" t="s">
        <v>2451</v>
      </c>
      <c r="B189" s="6" t="s">
        <v>2452</v>
      </c>
      <c r="C189" s="6" t="s">
        <v>2453</v>
      </c>
      <c r="E189" s="6" t="s">
        <v>2453</v>
      </c>
      <c r="F189" s="6" t="s">
        <v>2453</v>
      </c>
      <c r="G189" s="6" t="s">
        <v>2453</v>
      </c>
      <c r="H189" s="6" t="s">
        <v>2453</v>
      </c>
      <c r="I189" s="6" t="s">
        <v>2454</v>
      </c>
      <c r="J189" s="6">
        <v>418</v>
      </c>
      <c r="K189" s="8">
        <v>120</v>
      </c>
      <c r="L189" s="6" t="s">
        <v>1806</v>
      </c>
      <c r="M189" s="6" t="s">
        <v>3928</v>
      </c>
      <c r="N189" s="6" t="s">
        <v>1807</v>
      </c>
      <c r="O189" s="6" t="s">
        <v>1807</v>
      </c>
      <c r="P189" s="6" t="s">
        <v>1807</v>
      </c>
      <c r="Q189" s="6" t="s">
        <v>1808</v>
      </c>
      <c r="R189" s="6" t="s">
        <v>2455</v>
      </c>
    </row>
    <row r="190" spans="1:18">
      <c r="A190" s="6" t="s">
        <v>2456</v>
      </c>
      <c r="B190" s="6" t="s">
        <v>2457</v>
      </c>
      <c r="C190" s="6" t="s">
        <v>2458</v>
      </c>
      <c r="E190" s="6" t="s">
        <v>2458</v>
      </c>
      <c r="F190" s="6" t="s">
        <v>2458</v>
      </c>
      <c r="G190" s="6" t="s">
        <v>2458</v>
      </c>
      <c r="H190" s="6" t="s">
        <v>2458</v>
      </c>
      <c r="I190" s="6" t="s">
        <v>2459</v>
      </c>
      <c r="J190" s="6">
        <v>422</v>
      </c>
      <c r="K190" s="8">
        <v>121</v>
      </c>
      <c r="L190" s="6" t="s">
        <v>1806</v>
      </c>
      <c r="M190" s="6" t="s">
        <v>3928</v>
      </c>
      <c r="N190" s="6" t="s">
        <v>1807</v>
      </c>
      <c r="O190" s="6" t="s">
        <v>1807</v>
      </c>
      <c r="P190" s="6" t="s">
        <v>1807</v>
      </c>
      <c r="Q190" s="6" t="s">
        <v>1808</v>
      </c>
      <c r="R190" s="6" t="s">
        <v>2460</v>
      </c>
    </row>
    <row r="191" spans="1:18">
      <c r="A191" s="6" t="s">
        <v>2461</v>
      </c>
      <c r="B191" s="6" t="s">
        <v>2462</v>
      </c>
      <c r="C191" s="6" t="s">
        <v>2463</v>
      </c>
      <c r="F191" s="6" t="s">
        <v>2463</v>
      </c>
      <c r="G191" s="6" t="s">
        <v>2463</v>
      </c>
      <c r="H191" s="6" t="s">
        <v>2463</v>
      </c>
      <c r="J191" s="6">
        <v>662</v>
      </c>
      <c r="K191" s="8">
        <v>189</v>
      </c>
      <c r="L191" s="6" t="s">
        <v>1806</v>
      </c>
      <c r="M191" s="6" t="s">
        <v>3928</v>
      </c>
      <c r="N191" s="6" t="s">
        <v>1807</v>
      </c>
      <c r="O191" s="6" t="s">
        <v>1807</v>
      </c>
      <c r="P191" s="6" t="s">
        <v>1807</v>
      </c>
      <c r="Q191" s="6" t="s">
        <v>1808</v>
      </c>
      <c r="R191" s="6" t="s">
        <v>2464</v>
      </c>
    </row>
    <row r="192" spans="1:18">
      <c r="A192" s="6" t="s">
        <v>2465</v>
      </c>
      <c r="B192" s="6" t="s">
        <v>2466</v>
      </c>
      <c r="C192" s="6" t="s">
        <v>2467</v>
      </c>
      <c r="F192" s="6" t="s">
        <v>2467</v>
      </c>
      <c r="G192" s="6" t="s">
        <v>2467</v>
      </c>
      <c r="H192" s="6" t="s">
        <v>2467</v>
      </c>
      <c r="I192" s="6" t="s">
        <v>2468</v>
      </c>
      <c r="K192" s="8">
        <v>125</v>
      </c>
      <c r="L192" s="6" t="s">
        <v>1806</v>
      </c>
      <c r="M192" s="6" t="s">
        <v>3928</v>
      </c>
      <c r="N192" s="6" t="s">
        <v>1807</v>
      </c>
      <c r="O192" s="6" t="s">
        <v>2030</v>
      </c>
      <c r="P192" s="6" t="s">
        <v>2030</v>
      </c>
      <c r="Q192" s="6" t="s">
        <v>1808</v>
      </c>
      <c r="R192" s="6" t="s">
        <v>2469</v>
      </c>
    </row>
    <row r="193" spans="1:18">
      <c r="A193" s="6" t="s">
        <v>2470</v>
      </c>
      <c r="B193" s="6" t="s">
        <v>2471</v>
      </c>
      <c r="C193" s="6" t="s">
        <v>2472</v>
      </c>
      <c r="E193" s="6" t="s">
        <v>2472</v>
      </c>
      <c r="F193" s="6" t="s">
        <v>2472</v>
      </c>
      <c r="G193" s="6" t="s">
        <v>2472</v>
      </c>
      <c r="H193" s="6" t="s">
        <v>2472</v>
      </c>
      <c r="I193" s="6" t="s">
        <v>2473</v>
      </c>
      <c r="J193" s="6">
        <v>144</v>
      </c>
      <c r="K193" s="8">
        <v>38</v>
      </c>
      <c r="L193" s="6" t="s">
        <v>1806</v>
      </c>
      <c r="M193" s="6" t="s">
        <v>3928</v>
      </c>
      <c r="N193" s="6" t="s">
        <v>1807</v>
      </c>
      <c r="O193" s="6" t="s">
        <v>1807</v>
      </c>
      <c r="P193" s="6" t="s">
        <v>1807</v>
      </c>
      <c r="Q193" s="6" t="s">
        <v>1808</v>
      </c>
      <c r="R193" s="6" t="s">
        <v>2474</v>
      </c>
    </row>
    <row r="194" spans="1:18">
      <c r="A194" s="6" t="s">
        <v>2475</v>
      </c>
      <c r="B194" s="6" t="s">
        <v>2476</v>
      </c>
      <c r="C194" s="6" t="s">
        <v>2477</v>
      </c>
      <c r="E194" s="6" t="s">
        <v>2477</v>
      </c>
      <c r="F194" s="6" t="s">
        <v>2477</v>
      </c>
      <c r="G194" s="6" t="s">
        <v>2477</v>
      </c>
      <c r="H194" s="6" t="s">
        <v>2477</v>
      </c>
      <c r="J194" s="6">
        <v>430</v>
      </c>
      <c r="K194" s="8">
        <v>123</v>
      </c>
      <c r="L194" s="6" t="s">
        <v>1806</v>
      </c>
      <c r="M194" s="6" t="s">
        <v>3928</v>
      </c>
      <c r="N194" s="6" t="s">
        <v>1807</v>
      </c>
      <c r="O194" s="6" t="s">
        <v>1807</v>
      </c>
      <c r="P194" s="6" t="s">
        <v>1807</v>
      </c>
      <c r="Q194" s="6" t="s">
        <v>1808</v>
      </c>
      <c r="R194" s="6" t="s">
        <v>2478</v>
      </c>
    </row>
    <row r="195" spans="1:18">
      <c r="A195" s="6" t="s">
        <v>2479</v>
      </c>
      <c r="B195" s="6" t="s">
        <v>2480</v>
      </c>
      <c r="C195" s="6" t="s">
        <v>2481</v>
      </c>
      <c r="E195" s="6" t="s">
        <v>2481</v>
      </c>
      <c r="F195" s="6" t="s">
        <v>2481</v>
      </c>
      <c r="G195" s="6" t="s">
        <v>2481</v>
      </c>
      <c r="H195" s="6" t="s">
        <v>2481</v>
      </c>
      <c r="I195" s="6" t="s">
        <v>2482</v>
      </c>
      <c r="J195" s="6">
        <v>426</v>
      </c>
      <c r="K195" s="8">
        <v>122</v>
      </c>
      <c r="L195" s="6" t="s">
        <v>1806</v>
      </c>
      <c r="M195" s="6" t="s">
        <v>3928</v>
      </c>
      <c r="N195" s="6" t="s">
        <v>1807</v>
      </c>
      <c r="O195" s="6" t="s">
        <v>1807</v>
      </c>
      <c r="P195" s="6" t="s">
        <v>1807</v>
      </c>
      <c r="Q195" s="6" t="s">
        <v>1808</v>
      </c>
      <c r="R195" s="6" t="s">
        <v>2483</v>
      </c>
    </row>
    <row r="196" spans="1:18">
      <c r="A196" s="6" t="s">
        <v>2484</v>
      </c>
      <c r="B196" s="6" t="s">
        <v>2485</v>
      </c>
      <c r="C196" s="6" t="s">
        <v>2486</v>
      </c>
      <c r="D196" s="6" t="s">
        <v>2487</v>
      </c>
      <c r="E196" s="6" t="s">
        <v>2486</v>
      </c>
      <c r="F196" s="6" t="s">
        <v>2486</v>
      </c>
      <c r="G196" s="6" t="s">
        <v>2486</v>
      </c>
      <c r="H196" s="6" t="s">
        <v>2486</v>
      </c>
      <c r="I196" s="6" t="s">
        <v>2488</v>
      </c>
      <c r="J196" s="6">
        <v>440</v>
      </c>
      <c r="K196" s="8">
        <v>126</v>
      </c>
      <c r="L196" s="6" t="s">
        <v>2484</v>
      </c>
      <c r="M196" s="6" t="s">
        <v>1873</v>
      </c>
      <c r="N196" s="6" t="s">
        <v>2484</v>
      </c>
      <c r="O196" s="6" t="s">
        <v>2484</v>
      </c>
      <c r="P196" s="6" t="s">
        <v>1873</v>
      </c>
      <c r="Q196" s="6" t="s">
        <v>1874</v>
      </c>
      <c r="R196" s="6" t="s">
        <v>2489</v>
      </c>
    </row>
    <row r="197" spans="1:18">
      <c r="A197" s="6" t="s">
        <v>2490</v>
      </c>
      <c r="B197" s="6" t="s">
        <v>2491</v>
      </c>
      <c r="C197" s="6" t="s">
        <v>2492</v>
      </c>
      <c r="D197" s="6" t="s">
        <v>2493</v>
      </c>
      <c r="F197" s="6" t="s">
        <v>2492</v>
      </c>
      <c r="G197" s="6" t="s">
        <v>2492</v>
      </c>
      <c r="H197" s="6" t="s">
        <v>2492</v>
      </c>
      <c r="I197" s="6" t="s">
        <v>2494</v>
      </c>
      <c r="J197" s="6">
        <v>442</v>
      </c>
      <c r="K197" s="8">
        <v>256</v>
      </c>
      <c r="L197" s="6" t="s">
        <v>2490</v>
      </c>
      <c r="M197" s="6" t="s">
        <v>1873</v>
      </c>
      <c r="N197" s="6" t="s">
        <v>2490</v>
      </c>
      <c r="O197" s="6" t="s">
        <v>2490</v>
      </c>
      <c r="P197" s="6" t="s">
        <v>1873</v>
      </c>
      <c r="Q197" s="6" t="s">
        <v>1874</v>
      </c>
      <c r="R197" s="6" t="s">
        <v>2495</v>
      </c>
    </row>
    <row r="198" spans="1:18">
      <c r="A198" s="6" t="s">
        <v>2496</v>
      </c>
      <c r="B198" s="6" t="s">
        <v>2497</v>
      </c>
      <c r="C198" s="6" t="s">
        <v>2498</v>
      </c>
      <c r="D198" s="6" t="s">
        <v>2499</v>
      </c>
      <c r="E198" s="6" t="s">
        <v>2498</v>
      </c>
      <c r="F198" s="6" t="s">
        <v>2498</v>
      </c>
      <c r="G198" s="6" t="s">
        <v>2498</v>
      </c>
      <c r="H198" s="6" t="s">
        <v>2498</v>
      </c>
      <c r="I198" s="6" t="s">
        <v>2500</v>
      </c>
      <c r="J198" s="6">
        <v>428</v>
      </c>
      <c r="K198" s="8">
        <v>119</v>
      </c>
      <c r="L198" s="6" t="s">
        <v>2496</v>
      </c>
      <c r="M198" s="6" t="s">
        <v>1873</v>
      </c>
      <c r="N198" s="6" t="s">
        <v>2496</v>
      </c>
      <c r="O198" s="6" t="s">
        <v>2496</v>
      </c>
      <c r="P198" s="6" t="s">
        <v>1873</v>
      </c>
      <c r="Q198" s="6" t="s">
        <v>1874</v>
      </c>
      <c r="R198" s="6" t="s">
        <v>2501</v>
      </c>
    </row>
    <row r="199" spans="1:18">
      <c r="A199" s="6" t="s">
        <v>2502</v>
      </c>
      <c r="B199" s="6" t="s">
        <v>2503</v>
      </c>
      <c r="C199" s="6" t="s">
        <v>2504</v>
      </c>
      <c r="E199" s="6" t="s">
        <v>2504</v>
      </c>
      <c r="F199" s="6" t="s">
        <v>2504</v>
      </c>
      <c r="G199" s="6" t="s">
        <v>2504</v>
      </c>
      <c r="H199" s="6" t="s">
        <v>2504</v>
      </c>
      <c r="I199" s="6" t="s">
        <v>2505</v>
      </c>
      <c r="J199" s="6">
        <v>434</v>
      </c>
      <c r="K199" s="8">
        <v>124</v>
      </c>
      <c r="L199" s="6" t="s">
        <v>1806</v>
      </c>
      <c r="M199" s="6" t="s">
        <v>3928</v>
      </c>
      <c r="N199" s="6" t="s">
        <v>1807</v>
      </c>
      <c r="O199" s="6" t="s">
        <v>1807</v>
      </c>
      <c r="P199" s="6" t="s">
        <v>1807</v>
      </c>
      <c r="Q199" s="6" t="s">
        <v>1808</v>
      </c>
      <c r="R199" s="6" t="s">
        <v>2506</v>
      </c>
    </row>
    <row r="200" spans="1:18">
      <c r="A200" s="6" t="s">
        <v>2507</v>
      </c>
      <c r="B200" s="6" t="s">
        <v>2508</v>
      </c>
      <c r="C200" s="6" t="s">
        <v>2509</v>
      </c>
      <c r="E200" s="6" t="s">
        <v>2509</v>
      </c>
      <c r="F200" s="6" t="s">
        <v>2509</v>
      </c>
      <c r="G200" s="6" t="s">
        <v>2509</v>
      </c>
      <c r="H200" s="6" t="s">
        <v>2509</v>
      </c>
      <c r="I200" s="6" t="s">
        <v>2510</v>
      </c>
      <c r="J200" s="6">
        <v>504</v>
      </c>
      <c r="K200" s="8">
        <v>143</v>
      </c>
      <c r="L200" s="6" t="s">
        <v>1806</v>
      </c>
      <c r="M200" s="6" t="s">
        <v>3928</v>
      </c>
      <c r="N200" s="6" t="s">
        <v>1807</v>
      </c>
      <c r="O200" s="6" t="s">
        <v>1807</v>
      </c>
      <c r="P200" s="6" t="s">
        <v>1807</v>
      </c>
      <c r="Q200" s="6" t="s">
        <v>1808</v>
      </c>
      <c r="R200" s="6" t="s">
        <v>2511</v>
      </c>
    </row>
    <row r="201" spans="1:18">
      <c r="A201" s="6" t="s">
        <v>2512</v>
      </c>
      <c r="B201" s="6" t="s">
        <v>2513</v>
      </c>
      <c r="C201" s="6" t="s">
        <v>2514</v>
      </c>
      <c r="F201" s="6" t="s">
        <v>2514</v>
      </c>
      <c r="G201" s="6" t="s">
        <v>2514</v>
      </c>
      <c r="H201" s="6" t="s">
        <v>2514</v>
      </c>
      <c r="K201" s="8">
        <v>140</v>
      </c>
      <c r="L201" s="6" t="s">
        <v>2203</v>
      </c>
      <c r="M201" s="6" t="s">
        <v>1873</v>
      </c>
      <c r="N201" s="6" t="s">
        <v>2203</v>
      </c>
      <c r="O201" s="6" t="s">
        <v>2203</v>
      </c>
      <c r="P201" s="6" t="s">
        <v>1873</v>
      </c>
      <c r="Q201" s="6" t="s">
        <v>1874</v>
      </c>
      <c r="R201" s="6" t="s">
        <v>2515</v>
      </c>
    </row>
    <row r="202" spans="1:18">
      <c r="A202" s="6" t="s">
        <v>2516</v>
      </c>
      <c r="B202" s="6" t="s">
        <v>2517</v>
      </c>
      <c r="C202" s="6" t="s">
        <v>2518</v>
      </c>
      <c r="E202" s="6" t="s">
        <v>2518</v>
      </c>
      <c r="F202" s="6" t="s">
        <v>2518</v>
      </c>
      <c r="G202" s="6" t="s">
        <v>2518</v>
      </c>
      <c r="H202" s="6" t="s">
        <v>2519</v>
      </c>
      <c r="I202" s="6" t="s">
        <v>2520</v>
      </c>
      <c r="J202" s="6">
        <v>498</v>
      </c>
      <c r="K202" s="8">
        <v>146</v>
      </c>
      <c r="L202" s="6" t="s">
        <v>1806</v>
      </c>
      <c r="M202" s="6" t="s">
        <v>3928</v>
      </c>
      <c r="N202" s="6" t="s">
        <v>1807</v>
      </c>
      <c r="O202" s="6" t="s">
        <v>1807</v>
      </c>
      <c r="P202" s="6" t="s">
        <v>1807</v>
      </c>
      <c r="Q202" s="6" t="s">
        <v>1808</v>
      </c>
      <c r="R202" s="6" t="s">
        <v>2521</v>
      </c>
    </row>
    <row r="203" spans="1:18">
      <c r="A203" s="6" t="s">
        <v>2522</v>
      </c>
      <c r="B203" s="6" t="s">
        <v>2523</v>
      </c>
      <c r="C203" s="6" t="s">
        <v>2524</v>
      </c>
      <c r="D203" s="6" t="s">
        <v>2525</v>
      </c>
      <c r="E203" s="6" t="s">
        <v>2524</v>
      </c>
      <c r="F203" s="6" t="s">
        <v>2524</v>
      </c>
      <c r="G203" s="6" t="s">
        <v>2524</v>
      </c>
      <c r="H203" s="6" t="s">
        <v>2524</v>
      </c>
      <c r="I203" s="6" t="s">
        <v>2526</v>
      </c>
      <c r="J203" s="6">
        <v>499</v>
      </c>
      <c r="K203" s="8">
        <v>273</v>
      </c>
      <c r="L203" s="6" t="s">
        <v>1806</v>
      </c>
      <c r="M203" s="6" t="s">
        <v>3928</v>
      </c>
      <c r="N203" s="6" t="s">
        <v>1807</v>
      </c>
      <c r="O203" s="6" t="s">
        <v>1807</v>
      </c>
      <c r="P203" s="6" t="s">
        <v>1807</v>
      </c>
      <c r="Q203" s="6" t="s">
        <v>1808</v>
      </c>
      <c r="R203" s="6" t="s">
        <v>2527</v>
      </c>
    </row>
    <row r="204" spans="1:18">
      <c r="A204" s="6" t="s">
        <v>1663</v>
      </c>
      <c r="B204" s="6" t="s">
        <v>2528</v>
      </c>
      <c r="C204" s="6" t="s">
        <v>2529</v>
      </c>
      <c r="F204" s="6" t="s">
        <v>2529</v>
      </c>
      <c r="G204" s="6" t="s">
        <v>2529</v>
      </c>
      <c r="H204" s="6" t="s">
        <v>2529</v>
      </c>
      <c r="K204" s="8">
        <v>281</v>
      </c>
      <c r="L204" s="6" t="s">
        <v>2203</v>
      </c>
      <c r="M204" s="6" t="s">
        <v>1873</v>
      </c>
      <c r="N204" s="6" t="s">
        <v>2203</v>
      </c>
      <c r="O204" s="6" t="s">
        <v>2203</v>
      </c>
      <c r="P204" s="6" t="s">
        <v>1873</v>
      </c>
      <c r="Q204" s="6" t="s">
        <v>1874</v>
      </c>
      <c r="R204" s="6" t="s">
        <v>2530</v>
      </c>
    </row>
    <row r="205" spans="1:18">
      <c r="A205" s="6" t="s">
        <v>2531</v>
      </c>
      <c r="B205" s="6" t="s">
        <v>2532</v>
      </c>
      <c r="C205" s="6" t="s">
        <v>2533</v>
      </c>
      <c r="E205" s="6" t="s">
        <v>2533</v>
      </c>
      <c r="F205" s="6" t="s">
        <v>2533</v>
      </c>
      <c r="G205" s="6" t="s">
        <v>2533</v>
      </c>
      <c r="H205" s="6" t="s">
        <v>2533</v>
      </c>
      <c r="I205" s="6" t="s">
        <v>2534</v>
      </c>
      <c r="J205" s="6">
        <v>450</v>
      </c>
      <c r="K205" s="8">
        <v>129</v>
      </c>
      <c r="L205" s="6" t="s">
        <v>1806</v>
      </c>
      <c r="M205" s="6" t="s">
        <v>3928</v>
      </c>
      <c r="N205" s="6" t="s">
        <v>1807</v>
      </c>
      <c r="O205" s="6" t="s">
        <v>1807</v>
      </c>
      <c r="P205" s="6" t="s">
        <v>1807</v>
      </c>
      <c r="Q205" s="6" t="s">
        <v>1808</v>
      </c>
      <c r="R205" s="6" t="s">
        <v>2535</v>
      </c>
    </row>
    <row r="206" spans="1:18">
      <c r="A206" s="6" t="s">
        <v>2536</v>
      </c>
      <c r="B206" s="6" t="s">
        <v>2537</v>
      </c>
      <c r="C206" s="6" t="s">
        <v>2538</v>
      </c>
      <c r="F206" s="6" t="s">
        <v>2538</v>
      </c>
      <c r="G206" s="6" t="s">
        <v>2538</v>
      </c>
      <c r="H206" s="6" t="s">
        <v>2538</v>
      </c>
      <c r="I206" s="6" t="s">
        <v>2539</v>
      </c>
      <c r="J206" s="6">
        <v>584</v>
      </c>
      <c r="K206" s="8">
        <v>127</v>
      </c>
      <c r="L206" s="6" t="s">
        <v>1806</v>
      </c>
      <c r="M206" s="6" t="s">
        <v>3928</v>
      </c>
      <c r="N206" s="6" t="s">
        <v>1807</v>
      </c>
      <c r="O206" s="6" t="s">
        <v>1807</v>
      </c>
      <c r="P206" s="6" t="s">
        <v>1807</v>
      </c>
      <c r="Q206" s="6" t="s">
        <v>1808</v>
      </c>
      <c r="R206" s="6" t="s">
        <v>2540</v>
      </c>
    </row>
    <row r="207" spans="1:18">
      <c r="A207" s="6" t="s">
        <v>2541</v>
      </c>
      <c r="B207" s="6" t="s">
        <v>2542</v>
      </c>
      <c r="C207" s="6" t="s">
        <v>2543</v>
      </c>
      <c r="D207" s="6" t="s">
        <v>1955</v>
      </c>
      <c r="E207" s="6" t="s">
        <v>2544</v>
      </c>
      <c r="F207" s="6" t="s">
        <v>2544</v>
      </c>
      <c r="G207" s="6" t="s">
        <v>2543</v>
      </c>
      <c r="H207" s="6" t="s">
        <v>2545</v>
      </c>
      <c r="I207" s="6" t="s">
        <v>2546</v>
      </c>
      <c r="J207" s="6">
        <v>807</v>
      </c>
      <c r="K207" s="8">
        <v>154</v>
      </c>
      <c r="L207" s="6" t="s">
        <v>1806</v>
      </c>
      <c r="M207" s="6" t="s">
        <v>3928</v>
      </c>
      <c r="N207" s="6" t="s">
        <v>1807</v>
      </c>
      <c r="O207" s="6" t="s">
        <v>1807</v>
      </c>
      <c r="P207" s="6" t="s">
        <v>1807</v>
      </c>
      <c r="Q207" s="6" t="s">
        <v>1808</v>
      </c>
      <c r="R207" s="6" t="s">
        <v>2547</v>
      </c>
    </row>
    <row r="208" spans="1:18">
      <c r="A208" s="6" t="s">
        <v>2548</v>
      </c>
      <c r="B208" s="6" t="s">
        <v>2549</v>
      </c>
      <c r="C208" s="6" t="s">
        <v>2550</v>
      </c>
      <c r="E208" s="6" t="s">
        <v>2550</v>
      </c>
      <c r="F208" s="6" t="s">
        <v>2550</v>
      </c>
      <c r="G208" s="6" t="s">
        <v>2550</v>
      </c>
      <c r="H208" s="6" t="s">
        <v>2550</v>
      </c>
      <c r="I208" s="6" t="s">
        <v>2551</v>
      </c>
      <c r="J208" s="6">
        <v>466</v>
      </c>
      <c r="K208" s="8">
        <v>133</v>
      </c>
      <c r="L208" s="6" t="s">
        <v>1806</v>
      </c>
      <c r="M208" s="6" t="s">
        <v>3928</v>
      </c>
      <c r="N208" s="6" t="s">
        <v>1807</v>
      </c>
      <c r="O208" s="6" t="s">
        <v>1807</v>
      </c>
      <c r="P208" s="6" t="s">
        <v>1807</v>
      </c>
      <c r="Q208" s="6" t="s">
        <v>1808</v>
      </c>
      <c r="R208" s="6" t="s">
        <v>2552</v>
      </c>
    </row>
    <row r="209" spans="1:18">
      <c r="A209" s="6" t="s">
        <v>2553</v>
      </c>
      <c r="B209" s="6" t="s">
        <v>2554</v>
      </c>
      <c r="C209" s="6" t="s">
        <v>2555</v>
      </c>
      <c r="E209" s="6" t="s">
        <v>2555</v>
      </c>
      <c r="F209" s="6" t="s">
        <v>2555</v>
      </c>
      <c r="G209" s="6" t="s">
        <v>2555</v>
      </c>
      <c r="H209" s="6" t="s">
        <v>2555</v>
      </c>
      <c r="I209" s="6" t="s">
        <v>1682</v>
      </c>
      <c r="J209" s="6">
        <v>104</v>
      </c>
      <c r="K209" s="8">
        <v>28</v>
      </c>
      <c r="L209" s="6" t="s">
        <v>1806</v>
      </c>
      <c r="M209" s="6" t="s">
        <v>3928</v>
      </c>
      <c r="N209" s="6" t="s">
        <v>1807</v>
      </c>
      <c r="O209" s="6" t="s">
        <v>1807</v>
      </c>
      <c r="P209" s="6" t="s">
        <v>1807</v>
      </c>
      <c r="Q209" s="6" t="s">
        <v>1808</v>
      </c>
      <c r="R209" s="6" t="s">
        <v>2556</v>
      </c>
    </row>
    <row r="210" spans="1:18">
      <c r="A210" s="6" t="s">
        <v>2557</v>
      </c>
      <c r="B210" s="6" t="s">
        <v>2558</v>
      </c>
      <c r="C210" s="6" t="s">
        <v>2559</v>
      </c>
      <c r="E210" s="6" t="s">
        <v>2559</v>
      </c>
      <c r="F210" s="6" t="s">
        <v>2559</v>
      </c>
      <c r="G210" s="6" t="s">
        <v>2559</v>
      </c>
      <c r="H210" s="6" t="s">
        <v>2559</v>
      </c>
      <c r="I210" s="6" t="s">
        <v>2560</v>
      </c>
      <c r="J210" s="6">
        <v>496</v>
      </c>
      <c r="K210" s="8">
        <v>141</v>
      </c>
      <c r="L210" s="6" t="s">
        <v>1806</v>
      </c>
      <c r="M210" s="6" t="s">
        <v>3928</v>
      </c>
      <c r="N210" s="6" t="s">
        <v>1807</v>
      </c>
      <c r="O210" s="6" t="s">
        <v>1807</v>
      </c>
      <c r="P210" s="6" t="s">
        <v>1807</v>
      </c>
      <c r="Q210" s="6" t="s">
        <v>1808</v>
      </c>
      <c r="R210" s="6" t="s">
        <v>2561</v>
      </c>
    </row>
    <row r="211" spans="1:18">
      <c r="A211" s="6" t="s">
        <v>2562</v>
      </c>
      <c r="B211" s="6" t="s">
        <v>2563</v>
      </c>
      <c r="C211" s="6" t="s">
        <v>2564</v>
      </c>
      <c r="F211" s="6" t="s">
        <v>2564</v>
      </c>
      <c r="G211" s="6" t="s">
        <v>2564</v>
      </c>
      <c r="H211" s="6" t="s">
        <v>2564</v>
      </c>
      <c r="I211" s="6" t="s">
        <v>2565</v>
      </c>
      <c r="J211" s="6">
        <v>446</v>
      </c>
      <c r="K211" s="8">
        <v>128</v>
      </c>
      <c r="L211" s="6" t="s">
        <v>1806</v>
      </c>
      <c r="M211" s="6" t="s">
        <v>3928</v>
      </c>
      <c r="N211" s="6" t="s">
        <v>1807</v>
      </c>
      <c r="O211" s="6" t="s">
        <v>1807</v>
      </c>
      <c r="P211" s="6" t="s">
        <v>1807</v>
      </c>
      <c r="Q211" s="6" t="s">
        <v>1808</v>
      </c>
      <c r="R211" s="6" t="s">
        <v>2566</v>
      </c>
    </row>
    <row r="212" spans="1:18">
      <c r="A212" s="6" t="s">
        <v>2567</v>
      </c>
      <c r="B212" s="6" t="s">
        <v>2568</v>
      </c>
      <c r="C212" s="6" t="s">
        <v>2569</v>
      </c>
      <c r="F212" s="6" t="s">
        <v>2569</v>
      </c>
      <c r="G212" s="6" t="s">
        <v>2569</v>
      </c>
      <c r="H212" s="6" t="s">
        <v>2569</v>
      </c>
      <c r="J212" s="6">
        <v>580</v>
      </c>
      <c r="K212" s="8">
        <v>163</v>
      </c>
      <c r="L212" s="6" t="s">
        <v>1806</v>
      </c>
      <c r="M212" s="6" t="s">
        <v>3928</v>
      </c>
      <c r="N212" s="6" t="s">
        <v>1807</v>
      </c>
      <c r="O212" s="6" t="s">
        <v>1807</v>
      </c>
      <c r="P212" s="6" t="s">
        <v>1807</v>
      </c>
      <c r="Q212" s="6" t="s">
        <v>1808</v>
      </c>
      <c r="R212" s="6" t="s">
        <v>2570</v>
      </c>
    </row>
    <row r="213" spans="1:18">
      <c r="A213" s="6" t="s">
        <v>2571</v>
      </c>
      <c r="B213" s="6" t="s">
        <v>2572</v>
      </c>
      <c r="C213" s="6" t="s">
        <v>2573</v>
      </c>
      <c r="F213" s="6" t="s">
        <v>2573</v>
      </c>
      <c r="G213" s="6" t="s">
        <v>2573</v>
      </c>
      <c r="H213" s="6" t="s">
        <v>2573</v>
      </c>
      <c r="K213" s="8">
        <v>135</v>
      </c>
      <c r="L213" s="6" t="s">
        <v>2203</v>
      </c>
      <c r="M213" s="6" t="s">
        <v>1873</v>
      </c>
      <c r="N213" s="6" t="s">
        <v>2203</v>
      </c>
      <c r="O213" s="6" t="s">
        <v>2203</v>
      </c>
      <c r="P213" s="6" t="s">
        <v>1873</v>
      </c>
      <c r="Q213" s="6" t="s">
        <v>1874</v>
      </c>
      <c r="R213" s="6" t="s">
        <v>2574</v>
      </c>
    </row>
    <row r="214" spans="1:18">
      <c r="A214" s="6" t="s">
        <v>2575</v>
      </c>
      <c r="B214" s="6" t="s">
        <v>2576</v>
      </c>
      <c r="C214" s="6" t="s">
        <v>2577</v>
      </c>
      <c r="E214" s="6" t="s">
        <v>2577</v>
      </c>
      <c r="F214" s="6" t="s">
        <v>2577</v>
      </c>
      <c r="G214" s="6" t="s">
        <v>2577</v>
      </c>
      <c r="H214" s="6" t="s">
        <v>2577</v>
      </c>
      <c r="I214" s="6" t="s">
        <v>2578</v>
      </c>
      <c r="J214" s="6">
        <v>478</v>
      </c>
      <c r="K214" s="8">
        <v>136</v>
      </c>
      <c r="L214" s="6" t="s">
        <v>1806</v>
      </c>
      <c r="M214" s="6" t="s">
        <v>3928</v>
      </c>
      <c r="N214" s="6" t="s">
        <v>1807</v>
      </c>
      <c r="O214" s="6" t="s">
        <v>1807</v>
      </c>
      <c r="P214" s="6" t="s">
        <v>1807</v>
      </c>
      <c r="Q214" s="6" t="s">
        <v>1808</v>
      </c>
      <c r="R214" s="6" t="s">
        <v>2579</v>
      </c>
    </row>
    <row r="215" spans="1:18">
      <c r="A215" s="6" t="s">
        <v>2580</v>
      </c>
      <c r="B215" s="6" t="s">
        <v>2581</v>
      </c>
      <c r="C215" s="6" t="s">
        <v>2582</v>
      </c>
      <c r="F215" s="6" t="s">
        <v>2582</v>
      </c>
      <c r="G215" s="6" t="s">
        <v>2582</v>
      </c>
      <c r="H215" s="6" t="s">
        <v>2582</v>
      </c>
      <c r="J215" s="6">
        <v>500</v>
      </c>
      <c r="K215" s="8">
        <v>142</v>
      </c>
      <c r="L215" s="6" t="s">
        <v>1806</v>
      </c>
      <c r="M215" s="6" t="s">
        <v>3928</v>
      </c>
      <c r="N215" s="6" t="s">
        <v>1807</v>
      </c>
      <c r="O215" s="6" t="s">
        <v>1807</v>
      </c>
      <c r="P215" s="6" t="s">
        <v>1807</v>
      </c>
      <c r="Q215" s="6" t="s">
        <v>1808</v>
      </c>
      <c r="R215" s="6" t="s">
        <v>2583</v>
      </c>
    </row>
    <row r="216" spans="1:18">
      <c r="A216" s="6" t="s">
        <v>2584</v>
      </c>
      <c r="B216" s="6" t="s">
        <v>2585</v>
      </c>
      <c r="C216" s="6" t="s">
        <v>2586</v>
      </c>
      <c r="D216" s="6" t="s">
        <v>2587</v>
      </c>
      <c r="E216" s="6" t="s">
        <v>2586</v>
      </c>
      <c r="F216" s="6" t="s">
        <v>2586</v>
      </c>
      <c r="G216" s="6" t="s">
        <v>2586</v>
      </c>
      <c r="H216" s="6" t="s">
        <v>2586</v>
      </c>
      <c r="I216" s="6" t="s">
        <v>2588</v>
      </c>
      <c r="J216" s="6">
        <v>470</v>
      </c>
      <c r="K216" s="8">
        <v>134</v>
      </c>
      <c r="L216" s="6" t="s">
        <v>2584</v>
      </c>
      <c r="M216" s="6" t="s">
        <v>1873</v>
      </c>
      <c r="N216" s="6" t="s">
        <v>2584</v>
      </c>
      <c r="O216" s="6" t="s">
        <v>2584</v>
      </c>
      <c r="P216" s="6" t="s">
        <v>1873</v>
      </c>
      <c r="Q216" s="6" t="s">
        <v>1874</v>
      </c>
      <c r="R216" s="6" t="s">
        <v>2589</v>
      </c>
    </row>
    <row r="217" spans="1:18">
      <c r="A217" s="6" t="s">
        <v>2590</v>
      </c>
      <c r="B217" s="6" t="s">
        <v>2591</v>
      </c>
      <c r="C217" s="6" t="s">
        <v>2592</v>
      </c>
      <c r="E217" s="6" t="s">
        <v>2592</v>
      </c>
      <c r="F217" s="6" t="s">
        <v>2592</v>
      </c>
      <c r="G217" s="6" t="s">
        <v>2592</v>
      </c>
      <c r="H217" s="6" t="s">
        <v>2592</v>
      </c>
      <c r="I217" s="6" t="s">
        <v>2593</v>
      </c>
      <c r="J217" s="6">
        <v>480</v>
      </c>
      <c r="K217" s="8">
        <v>137</v>
      </c>
      <c r="L217" s="6" t="s">
        <v>1806</v>
      </c>
      <c r="M217" s="6" t="s">
        <v>3928</v>
      </c>
      <c r="N217" s="6" t="s">
        <v>1807</v>
      </c>
      <c r="O217" s="6" t="s">
        <v>1807</v>
      </c>
      <c r="P217" s="6" t="s">
        <v>1807</v>
      </c>
      <c r="Q217" s="6" t="s">
        <v>1808</v>
      </c>
      <c r="R217" s="6" t="s">
        <v>2594</v>
      </c>
    </row>
    <row r="218" spans="1:18">
      <c r="A218" s="6" t="s">
        <v>2595</v>
      </c>
      <c r="B218" s="6" t="s">
        <v>2596</v>
      </c>
      <c r="C218" s="6" t="s">
        <v>2597</v>
      </c>
      <c r="F218" s="6" t="s">
        <v>2597</v>
      </c>
      <c r="G218" s="6" t="s">
        <v>2597</v>
      </c>
      <c r="H218" s="6" t="s">
        <v>2597</v>
      </c>
      <c r="I218" s="6" t="s">
        <v>2598</v>
      </c>
      <c r="J218" s="6">
        <v>462</v>
      </c>
      <c r="K218" s="8">
        <v>132</v>
      </c>
      <c r="L218" s="6" t="s">
        <v>1806</v>
      </c>
      <c r="M218" s="6" t="s">
        <v>3928</v>
      </c>
      <c r="N218" s="6" t="s">
        <v>1807</v>
      </c>
      <c r="O218" s="6" t="s">
        <v>1807</v>
      </c>
      <c r="P218" s="6" t="s">
        <v>1807</v>
      </c>
      <c r="Q218" s="6" t="s">
        <v>1808</v>
      </c>
      <c r="R218" s="6" t="s">
        <v>2599</v>
      </c>
    </row>
    <row r="219" spans="1:18">
      <c r="A219" s="6" t="s">
        <v>2600</v>
      </c>
      <c r="B219" s="6" t="s">
        <v>2601</v>
      </c>
      <c r="C219" s="6" t="s">
        <v>2602</v>
      </c>
      <c r="E219" s="6" t="s">
        <v>2602</v>
      </c>
      <c r="F219" s="6" t="s">
        <v>2602</v>
      </c>
      <c r="G219" s="6" t="s">
        <v>2602</v>
      </c>
      <c r="H219" s="6" t="s">
        <v>2602</v>
      </c>
      <c r="I219" s="6" t="s">
        <v>2603</v>
      </c>
      <c r="J219" s="6">
        <v>454</v>
      </c>
      <c r="K219" s="8">
        <v>130</v>
      </c>
      <c r="L219" s="6" t="s">
        <v>1806</v>
      </c>
      <c r="M219" s="6" t="s">
        <v>3928</v>
      </c>
      <c r="N219" s="6" t="s">
        <v>1807</v>
      </c>
      <c r="O219" s="6" t="s">
        <v>1807</v>
      </c>
      <c r="P219" s="6" t="s">
        <v>1807</v>
      </c>
      <c r="Q219" s="6" t="s">
        <v>1808</v>
      </c>
      <c r="R219" s="6" t="s">
        <v>2604</v>
      </c>
    </row>
    <row r="220" spans="1:18">
      <c r="A220" s="6" t="s">
        <v>2605</v>
      </c>
      <c r="B220" s="6" t="s">
        <v>2606</v>
      </c>
      <c r="C220" s="6" t="s">
        <v>2607</v>
      </c>
      <c r="E220" s="6" t="s">
        <v>2607</v>
      </c>
      <c r="F220" s="6" t="s">
        <v>2607</v>
      </c>
      <c r="G220" s="6" t="s">
        <v>2607</v>
      </c>
      <c r="H220" s="6" t="s">
        <v>2607</v>
      </c>
      <c r="I220" s="6" t="s">
        <v>2608</v>
      </c>
      <c r="J220" s="6">
        <v>484</v>
      </c>
      <c r="K220" s="8">
        <v>138</v>
      </c>
      <c r="L220" s="6" t="s">
        <v>1806</v>
      </c>
      <c r="M220" s="6" t="s">
        <v>3928</v>
      </c>
      <c r="N220" s="6" t="s">
        <v>1807</v>
      </c>
      <c r="O220" s="6" t="s">
        <v>2605</v>
      </c>
      <c r="P220" s="6" t="s">
        <v>2605</v>
      </c>
      <c r="Q220" s="6" t="s">
        <v>1808</v>
      </c>
      <c r="R220" s="6" t="s">
        <v>2609</v>
      </c>
    </row>
    <row r="221" spans="1:18">
      <c r="A221" s="6" t="s">
        <v>2610</v>
      </c>
      <c r="B221" s="6" t="s">
        <v>2611</v>
      </c>
      <c r="C221" s="6" t="s">
        <v>2612</v>
      </c>
      <c r="E221" s="6" t="s">
        <v>2612</v>
      </c>
      <c r="F221" s="6" t="s">
        <v>2612</v>
      </c>
      <c r="G221" s="6" t="s">
        <v>2612</v>
      </c>
      <c r="H221" s="6" t="s">
        <v>2612</v>
      </c>
      <c r="I221" s="6" t="s">
        <v>2613</v>
      </c>
      <c r="J221" s="6">
        <v>458</v>
      </c>
      <c r="K221" s="8">
        <v>131</v>
      </c>
      <c r="L221" s="6" t="s">
        <v>1806</v>
      </c>
      <c r="M221" s="6" t="s">
        <v>3928</v>
      </c>
      <c r="N221" s="6" t="s">
        <v>1807</v>
      </c>
      <c r="O221" s="6" t="s">
        <v>1807</v>
      </c>
      <c r="P221" s="6" t="s">
        <v>1807</v>
      </c>
      <c r="Q221" s="6" t="s">
        <v>1808</v>
      </c>
      <c r="R221" s="6" t="s">
        <v>2614</v>
      </c>
    </row>
    <row r="222" spans="1:18">
      <c r="A222" s="6" t="s">
        <v>2615</v>
      </c>
      <c r="B222" s="6" t="s">
        <v>2616</v>
      </c>
      <c r="C222" s="6" t="s">
        <v>2617</v>
      </c>
      <c r="E222" s="6" t="s">
        <v>2617</v>
      </c>
      <c r="F222" s="6" t="s">
        <v>2617</v>
      </c>
      <c r="G222" s="6" t="s">
        <v>2617</v>
      </c>
      <c r="H222" s="6" t="s">
        <v>2617</v>
      </c>
      <c r="I222" s="6" t="s">
        <v>2618</v>
      </c>
      <c r="J222" s="6">
        <v>508</v>
      </c>
      <c r="K222" s="8">
        <v>144</v>
      </c>
      <c r="L222" s="6" t="s">
        <v>1806</v>
      </c>
      <c r="M222" s="6" t="s">
        <v>3928</v>
      </c>
      <c r="N222" s="6" t="s">
        <v>1807</v>
      </c>
      <c r="O222" s="6" t="s">
        <v>1807</v>
      </c>
      <c r="P222" s="6" t="s">
        <v>1807</v>
      </c>
      <c r="Q222" s="6" t="s">
        <v>1808</v>
      </c>
      <c r="R222" s="6" t="s">
        <v>2619</v>
      </c>
    </row>
    <row r="223" spans="1:18">
      <c r="A223" s="6" t="s">
        <v>2620</v>
      </c>
      <c r="B223" s="6" t="s">
        <v>2621</v>
      </c>
      <c r="C223" s="6" t="s">
        <v>2622</v>
      </c>
      <c r="E223" s="6" t="s">
        <v>2622</v>
      </c>
      <c r="F223" s="6" t="s">
        <v>2622</v>
      </c>
      <c r="G223" s="6" t="s">
        <v>2622</v>
      </c>
      <c r="H223" s="6" t="s">
        <v>2622</v>
      </c>
      <c r="I223" s="6" t="s">
        <v>2623</v>
      </c>
      <c r="J223" s="6">
        <v>516</v>
      </c>
      <c r="K223" s="8">
        <v>147</v>
      </c>
      <c r="L223" s="6" t="s">
        <v>1806</v>
      </c>
      <c r="M223" s="6" t="s">
        <v>3928</v>
      </c>
      <c r="N223" s="6" t="s">
        <v>1807</v>
      </c>
      <c r="O223" s="6" t="s">
        <v>1807</v>
      </c>
      <c r="P223" s="6" t="s">
        <v>1807</v>
      </c>
      <c r="Q223" s="6" t="s">
        <v>1808</v>
      </c>
      <c r="R223" s="6" t="s">
        <v>2624</v>
      </c>
    </row>
    <row r="224" spans="1:18">
      <c r="A224" s="6" t="s">
        <v>2625</v>
      </c>
      <c r="B224" s="6" t="s">
        <v>2626</v>
      </c>
      <c r="C224" s="6" t="s">
        <v>2627</v>
      </c>
      <c r="E224" s="6" t="s">
        <v>2627</v>
      </c>
      <c r="F224" s="6" t="s">
        <v>2627</v>
      </c>
      <c r="G224" s="6" t="s">
        <v>2627</v>
      </c>
      <c r="H224" s="6" t="s">
        <v>2627</v>
      </c>
      <c r="J224" s="6">
        <v>540</v>
      </c>
      <c r="K224" s="8">
        <v>153</v>
      </c>
      <c r="L224" s="6" t="s">
        <v>1806</v>
      </c>
      <c r="M224" s="6" t="s">
        <v>3928</v>
      </c>
      <c r="N224" s="6" t="s">
        <v>1807</v>
      </c>
      <c r="O224" s="6" t="s">
        <v>1807</v>
      </c>
      <c r="P224" s="6" t="s">
        <v>1807</v>
      </c>
      <c r="Q224" s="6" t="s">
        <v>1808</v>
      </c>
      <c r="R224" s="6" t="s">
        <v>2628</v>
      </c>
    </row>
    <row r="225" spans="1:18">
      <c r="A225" s="6" t="s">
        <v>2629</v>
      </c>
      <c r="B225" s="6" t="s">
        <v>2630</v>
      </c>
      <c r="C225" s="6" t="s">
        <v>2631</v>
      </c>
      <c r="E225" s="6" t="s">
        <v>2631</v>
      </c>
      <c r="F225" s="6" t="s">
        <v>2631</v>
      </c>
      <c r="G225" s="6" t="s">
        <v>2631</v>
      </c>
      <c r="H225" s="6" t="s">
        <v>2631</v>
      </c>
      <c r="I225" s="6" t="s">
        <v>2632</v>
      </c>
      <c r="J225" s="6">
        <v>562</v>
      </c>
      <c r="K225" s="8">
        <v>158</v>
      </c>
      <c r="L225" s="6" t="s">
        <v>1806</v>
      </c>
      <c r="M225" s="6" t="s">
        <v>3928</v>
      </c>
      <c r="N225" s="6" t="s">
        <v>1807</v>
      </c>
      <c r="O225" s="6" t="s">
        <v>1807</v>
      </c>
      <c r="P225" s="6" t="s">
        <v>1807</v>
      </c>
      <c r="Q225" s="6" t="s">
        <v>1808</v>
      </c>
      <c r="R225" s="6" t="s">
        <v>2633</v>
      </c>
    </row>
    <row r="226" spans="1:18">
      <c r="A226" s="6" t="s">
        <v>2634</v>
      </c>
      <c r="B226" s="6" t="s">
        <v>2635</v>
      </c>
      <c r="C226" s="6" t="s">
        <v>2636</v>
      </c>
      <c r="F226" s="6" t="s">
        <v>2636</v>
      </c>
      <c r="G226" s="6" t="s">
        <v>2636</v>
      </c>
      <c r="H226" s="6" t="s">
        <v>2636</v>
      </c>
      <c r="J226" s="6">
        <v>574</v>
      </c>
      <c r="K226" s="8">
        <v>161</v>
      </c>
      <c r="L226" s="6" t="s">
        <v>1806</v>
      </c>
      <c r="M226" s="6" t="s">
        <v>3928</v>
      </c>
      <c r="N226" s="6" t="s">
        <v>1807</v>
      </c>
      <c r="O226" s="6" t="s">
        <v>1807</v>
      </c>
      <c r="P226" s="6" t="s">
        <v>1807</v>
      </c>
      <c r="Q226" s="6" t="s">
        <v>1808</v>
      </c>
      <c r="R226" s="6" t="s">
        <v>2637</v>
      </c>
    </row>
    <row r="227" spans="1:18">
      <c r="A227" s="6" t="s">
        <v>2638</v>
      </c>
      <c r="B227" s="6" t="s">
        <v>2639</v>
      </c>
      <c r="C227" s="6" t="s">
        <v>2640</v>
      </c>
      <c r="E227" s="6" t="s">
        <v>2640</v>
      </c>
      <c r="F227" s="6" t="s">
        <v>2640</v>
      </c>
      <c r="G227" s="6" t="s">
        <v>2640</v>
      </c>
      <c r="H227" s="6" t="s">
        <v>2640</v>
      </c>
      <c r="I227" s="6" t="s">
        <v>2641</v>
      </c>
      <c r="J227" s="6">
        <v>566</v>
      </c>
      <c r="K227" s="8">
        <v>159</v>
      </c>
      <c r="L227" s="6" t="s">
        <v>1806</v>
      </c>
      <c r="M227" s="6" t="s">
        <v>3928</v>
      </c>
      <c r="N227" s="6" t="s">
        <v>1807</v>
      </c>
      <c r="O227" s="6" t="s">
        <v>1807</v>
      </c>
      <c r="P227" s="6" t="s">
        <v>1807</v>
      </c>
      <c r="Q227" s="6" t="s">
        <v>1808</v>
      </c>
      <c r="R227" s="6" t="s">
        <v>2642</v>
      </c>
    </row>
    <row r="228" spans="1:18">
      <c r="A228" s="6" t="s">
        <v>2643</v>
      </c>
      <c r="B228" s="6" t="s">
        <v>2644</v>
      </c>
      <c r="C228" s="6" t="s">
        <v>2645</v>
      </c>
      <c r="E228" s="6" t="s">
        <v>2645</v>
      </c>
      <c r="F228" s="6" t="s">
        <v>2645</v>
      </c>
      <c r="G228" s="6" t="s">
        <v>2645</v>
      </c>
      <c r="H228" s="6" t="s">
        <v>2645</v>
      </c>
      <c r="I228" s="6" t="s">
        <v>2646</v>
      </c>
      <c r="J228" s="6">
        <v>558</v>
      </c>
      <c r="K228" s="8">
        <v>157</v>
      </c>
      <c r="L228" s="6" t="s">
        <v>1806</v>
      </c>
      <c r="M228" s="6" t="s">
        <v>3928</v>
      </c>
      <c r="N228" s="6" t="s">
        <v>1807</v>
      </c>
      <c r="O228" s="6" t="s">
        <v>1807</v>
      </c>
      <c r="P228" s="6" t="s">
        <v>1807</v>
      </c>
      <c r="Q228" s="6" t="s">
        <v>1808</v>
      </c>
      <c r="R228" s="6" t="s">
        <v>2647</v>
      </c>
    </row>
    <row r="229" spans="1:18">
      <c r="A229" s="6" t="s">
        <v>2648</v>
      </c>
      <c r="B229" s="6" t="s">
        <v>2649</v>
      </c>
      <c r="C229" s="6" t="s">
        <v>2650</v>
      </c>
      <c r="D229" s="6" t="s">
        <v>2651</v>
      </c>
      <c r="E229" s="6" t="s">
        <v>2650</v>
      </c>
      <c r="F229" s="6" t="s">
        <v>2650</v>
      </c>
      <c r="G229" s="6" t="s">
        <v>2650</v>
      </c>
      <c r="H229" s="6" t="s">
        <v>2650</v>
      </c>
      <c r="I229" s="6" t="s">
        <v>2652</v>
      </c>
      <c r="J229" s="6">
        <v>528</v>
      </c>
      <c r="K229" s="8">
        <v>150</v>
      </c>
      <c r="L229" s="6" t="s">
        <v>2648</v>
      </c>
      <c r="M229" s="6" t="s">
        <v>1873</v>
      </c>
      <c r="N229" s="6" t="s">
        <v>2648</v>
      </c>
      <c r="O229" s="6" t="s">
        <v>2648</v>
      </c>
      <c r="P229" s="6" t="s">
        <v>1873</v>
      </c>
      <c r="Q229" s="6" t="s">
        <v>1874</v>
      </c>
      <c r="R229" s="6" t="s">
        <v>2653</v>
      </c>
    </row>
    <row r="230" spans="1:18">
      <c r="A230" s="6" t="s">
        <v>2654</v>
      </c>
      <c r="B230" s="6" t="s">
        <v>2655</v>
      </c>
      <c r="C230" s="6" t="s">
        <v>2656</v>
      </c>
      <c r="D230" s="6" t="s">
        <v>1825</v>
      </c>
      <c r="E230" s="6" t="s">
        <v>2656</v>
      </c>
      <c r="F230" s="6" t="s">
        <v>2656</v>
      </c>
      <c r="G230" s="6" t="s">
        <v>2656</v>
      </c>
      <c r="H230" s="6" t="s">
        <v>2656</v>
      </c>
      <c r="I230" s="6" t="s">
        <v>2657</v>
      </c>
      <c r="J230" s="6">
        <v>579</v>
      </c>
      <c r="K230" s="8">
        <v>162</v>
      </c>
      <c r="L230" s="6" t="s">
        <v>1806</v>
      </c>
      <c r="M230" s="6" t="s">
        <v>3928</v>
      </c>
      <c r="N230" s="6" t="s">
        <v>1807</v>
      </c>
      <c r="O230" s="6" t="s">
        <v>2654</v>
      </c>
      <c r="P230" s="6" t="s">
        <v>2654</v>
      </c>
      <c r="Q230" s="6" t="s">
        <v>1808</v>
      </c>
      <c r="R230" s="6" t="s">
        <v>2658</v>
      </c>
    </row>
    <row r="231" spans="1:18">
      <c r="A231" s="6" t="s">
        <v>2659</v>
      </c>
      <c r="B231" s="6" t="s">
        <v>2660</v>
      </c>
      <c r="C231" s="6" t="s">
        <v>2661</v>
      </c>
      <c r="E231" s="6" t="s">
        <v>2661</v>
      </c>
      <c r="F231" s="6" t="s">
        <v>2661</v>
      </c>
      <c r="G231" s="6" t="s">
        <v>2661</v>
      </c>
      <c r="H231" s="6" t="s">
        <v>2661</v>
      </c>
      <c r="I231" s="6" t="s">
        <v>2662</v>
      </c>
      <c r="J231" s="6">
        <v>524</v>
      </c>
      <c r="K231" s="8">
        <v>149</v>
      </c>
      <c r="L231" s="6" t="s">
        <v>1806</v>
      </c>
      <c r="M231" s="6" t="s">
        <v>3928</v>
      </c>
      <c r="N231" s="6" t="s">
        <v>1807</v>
      </c>
      <c r="O231" s="6" t="s">
        <v>1807</v>
      </c>
      <c r="P231" s="6" t="s">
        <v>1807</v>
      </c>
      <c r="Q231" s="6" t="s">
        <v>1808</v>
      </c>
      <c r="R231" s="6" t="s">
        <v>2663</v>
      </c>
    </row>
    <row r="232" spans="1:18">
      <c r="A232" s="6" t="s">
        <v>2664</v>
      </c>
      <c r="B232" s="6" t="s">
        <v>2665</v>
      </c>
      <c r="C232" s="6" t="s">
        <v>2666</v>
      </c>
      <c r="E232" s="6" t="s">
        <v>2666</v>
      </c>
      <c r="F232" s="6" t="s">
        <v>2666</v>
      </c>
      <c r="G232" s="6" t="s">
        <v>2666</v>
      </c>
      <c r="H232" s="6" t="s">
        <v>2666</v>
      </c>
      <c r="J232" s="6">
        <v>520</v>
      </c>
      <c r="K232" s="8">
        <v>148</v>
      </c>
      <c r="L232" s="6" t="s">
        <v>1806</v>
      </c>
      <c r="M232" s="6" t="s">
        <v>3928</v>
      </c>
      <c r="N232" s="6" t="s">
        <v>1807</v>
      </c>
      <c r="O232" s="6" t="s">
        <v>1807</v>
      </c>
      <c r="P232" s="6" t="s">
        <v>1807</v>
      </c>
      <c r="Q232" s="6" t="s">
        <v>1808</v>
      </c>
      <c r="R232" s="6" t="s">
        <v>2667</v>
      </c>
    </row>
    <row r="233" spans="1:18">
      <c r="A233" s="6" t="s">
        <v>2668</v>
      </c>
      <c r="K233" s="8" t="s">
        <v>557</v>
      </c>
      <c r="M233" s="6" t="s">
        <v>3928</v>
      </c>
      <c r="N233" s="6" t="s">
        <v>1807</v>
      </c>
      <c r="O233" s="6" t="s">
        <v>1807</v>
      </c>
      <c r="P233" s="6" t="s">
        <v>1807</v>
      </c>
      <c r="Q233" s="6" t="s">
        <v>1808</v>
      </c>
    </row>
    <row r="234" spans="1:18">
      <c r="A234" s="6" t="s">
        <v>2669</v>
      </c>
      <c r="B234" s="6" t="s">
        <v>2670</v>
      </c>
      <c r="C234" s="6" t="s">
        <v>2671</v>
      </c>
      <c r="F234" s="6" t="s">
        <v>2671</v>
      </c>
      <c r="G234" s="6" t="s">
        <v>2671</v>
      </c>
      <c r="H234" s="6" t="s">
        <v>2671</v>
      </c>
      <c r="J234" s="6">
        <v>570</v>
      </c>
      <c r="K234" s="8">
        <v>160</v>
      </c>
      <c r="L234" s="6" t="s">
        <v>1806</v>
      </c>
      <c r="M234" s="6" t="s">
        <v>3928</v>
      </c>
      <c r="N234" s="6" t="s">
        <v>1807</v>
      </c>
      <c r="O234" s="6" t="s">
        <v>1807</v>
      </c>
      <c r="P234" s="6" t="s">
        <v>1807</v>
      </c>
      <c r="Q234" s="6" t="s">
        <v>1808</v>
      </c>
      <c r="R234" s="6" t="s">
        <v>2672</v>
      </c>
    </row>
    <row r="235" spans="1:18">
      <c r="A235" s="6" t="s">
        <v>2673</v>
      </c>
      <c r="B235" s="6" t="s">
        <v>2674</v>
      </c>
      <c r="C235" s="6" t="s">
        <v>2675</v>
      </c>
      <c r="E235" s="6" t="s">
        <v>2675</v>
      </c>
      <c r="F235" s="6" t="s">
        <v>2675</v>
      </c>
      <c r="G235" s="6" t="s">
        <v>2675</v>
      </c>
      <c r="H235" s="6" t="s">
        <v>2675</v>
      </c>
      <c r="I235" s="6" t="s">
        <v>2676</v>
      </c>
      <c r="J235" s="6">
        <v>554</v>
      </c>
      <c r="K235" s="8">
        <v>156</v>
      </c>
      <c r="L235" s="6" t="s">
        <v>1806</v>
      </c>
      <c r="M235" s="6" t="s">
        <v>3928</v>
      </c>
      <c r="N235" s="6" t="s">
        <v>1807</v>
      </c>
      <c r="O235" s="6" t="s">
        <v>1807</v>
      </c>
      <c r="P235" s="6" t="s">
        <v>1807</v>
      </c>
      <c r="Q235" s="6" t="s">
        <v>1808</v>
      </c>
      <c r="R235" s="6" t="s">
        <v>2677</v>
      </c>
    </row>
    <row r="236" spans="1:18">
      <c r="A236" s="6" t="s">
        <v>2678</v>
      </c>
      <c r="B236" s="6" t="s">
        <v>2679</v>
      </c>
      <c r="C236" s="6" t="s">
        <v>2680</v>
      </c>
      <c r="E236" s="6" t="s">
        <v>2680</v>
      </c>
      <c r="F236" s="6" t="s">
        <v>2680</v>
      </c>
      <c r="G236" s="6" t="s">
        <v>2680</v>
      </c>
      <c r="H236" s="6" t="s">
        <v>2680</v>
      </c>
      <c r="I236" s="6" t="s">
        <v>2681</v>
      </c>
      <c r="J236" s="6">
        <v>512</v>
      </c>
      <c r="K236" s="8">
        <v>221</v>
      </c>
      <c r="L236" s="6" t="s">
        <v>1806</v>
      </c>
      <c r="M236" s="6" t="s">
        <v>3928</v>
      </c>
      <c r="N236" s="6" t="s">
        <v>1807</v>
      </c>
      <c r="O236" s="6" t="s">
        <v>1807</v>
      </c>
      <c r="P236" s="6" t="s">
        <v>1807</v>
      </c>
      <c r="Q236" s="6" t="s">
        <v>1808</v>
      </c>
      <c r="R236" s="6" t="s">
        <v>2682</v>
      </c>
    </row>
    <row r="237" spans="1:18">
      <c r="A237" s="6" t="s">
        <v>2683</v>
      </c>
      <c r="B237" s="6" t="s">
        <v>2684</v>
      </c>
      <c r="C237" s="6" t="s">
        <v>2685</v>
      </c>
      <c r="E237" s="6" t="s">
        <v>2685</v>
      </c>
      <c r="F237" s="6" t="s">
        <v>2685</v>
      </c>
      <c r="G237" s="6" t="s">
        <v>2685</v>
      </c>
      <c r="H237" s="6" t="s">
        <v>2685</v>
      </c>
      <c r="I237" s="6" t="s">
        <v>2686</v>
      </c>
      <c r="J237" s="6">
        <v>591</v>
      </c>
      <c r="K237" s="8">
        <v>166</v>
      </c>
      <c r="L237" s="6" t="s">
        <v>1806</v>
      </c>
      <c r="M237" s="6" t="s">
        <v>3928</v>
      </c>
      <c r="N237" s="6" t="s">
        <v>1807</v>
      </c>
      <c r="O237" s="6" t="s">
        <v>1807</v>
      </c>
      <c r="P237" s="6" t="s">
        <v>1807</v>
      </c>
      <c r="Q237" s="6" t="s">
        <v>1808</v>
      </c>
      <c r="R237" s="6" t="s">
        <v>2687</v>
      </c>
    </row>
    <row r="238" spans="1:18">
      <c r="A238" s="6" t="s">
        <v>2688</v>
      </c>
      <c r="B238" s="6" t="s">
        <v>2689</v>
      </c>
      <c r="C238" s="6" t="s">
        <v>2690</v>
      </c>
      <c r="E238" s="6" t="s">
        <v>2690</v>
      </c>
      <c r="F238" s="6" t="s">
        <v>2690</v>
      </c>
      <c r="G238" s="6" t="s">
        <v>2690</v>
      </c>
      <c r="H238" s="6" t="s">
        <v>2690</v>
      </c>
      <c r="I238" s="6" t="s">
        <v>2691</v>
      </c>
      <c r="J238" s="6">
        <v>604</v>
      </c>
      <c r="K238" s="8">
        <v>170</v>
      </c>
      <c r="L238" s="6" t="s">
        <v>1806</v>
      </c>
      <c r="M238" s="6" t="s">
        <v>3928</v>
      </c>
      <c r="N238" s="6" t="s">
        <v>1807</v>
      </c>
      <c r="O238" s="6" t="s">
        <v>1807</v>
      </c>
      <c r="P238" s="6" t="s">
        <v>1807</v>
      </c>
      <c r="Q238" s="6" t="s">
        <v>1808</v>
      </c>
      <c r="R238" s="6" t="s">
        <v>2692</v>
      </c>
    </row>
    <row r="239" spans="1:18">
      <c r="A239" s="6" t="s">
        <v>2693</v>
      </c>
      <c r="B239" s="6" t="s">
        <v>2694</v>
      </c>
      <c r="C239" s="6" t="s">
        <v>2695</v>
      </c>
      <c r="F239" s="6" t="s">
        <v>2695</v>
      </c>
      <c r="G239" s="6" t="s">
        <v>2695</v>
      </c>
      <c r="H239" s="6" t="s">
        <v>2695</v>
      </c>
      <c r="J239" s="6">
        <v>258</v>
      </c>
      <c r="K239" s="8">
        <v>70</v>
      </c>
      <c r="L239" s="6" t="s">
        <v>1806</v>
      </c>
      <c r="M239" s="6" t="s">
        <v>3928</v>
      </c>
      <c r="N239" s="6" t="s">
        <v>1807</v>
      </c>
      <c r="O239" s="6" t="s">
        <v>1807</v>
      </c>
      <c r="P239" s="6" t="s">
        <v>1807</v>
      </c>
      <c r="Q239" s="6" t="s">
        <v>1808</v>
      </c>
      <c r="R239" s="6" t="s">
        <v>2696</v>
      </c>
    </row>
    <row r="240" spans="1:18">
      <c r="A240" s="6" t="s">
        <v>2697</v>
      </c>
      <c r="B240" s="6" t="s">
        <v>2698</v>
      </c>
      <c r="C240" s="6" t="s">
        <v>2699</v>
      </c>
      <c r="E240" s="6" t="s">
        <v>2699</v>
      </c>
      <c r="F240" s="6" t="s">
        <v>2699</v>
      </c>
      <c r="G240" s="6" t="s">
        <v>2699</v>
      </c>
      <c r="H240" s="6" t="s">
        <v>2699</v>
      </c>
      <c r="I240" s="6" t="s">
        <v>2700</v>
      </c>
      <c r="J240" s="6">
        <v>598</v>
      </c>
      <c r="K240" s="8">
        <v>168</v>
      </c>
      <c r="L240" s="6" t="s">
        <v>1806</v>
      </c>
      <c r="M240" s="6" t="s">
        <v>3928</v>
      </c>
      <c r="N240" s="6" t="s">
        <v>1807</v>
      </c>
      <c r="O240" s="6" t="s">
        <v>1807</v>
      </c>
      <c r="P240" s="6" t="s">
        <v>1807</v>
      </c>
      <c r="Q240" s="6" t="s">
        <v>1808</v>
      </c>
      <c r="R240" s="6" t="s">
        <v>2701</v>
      </c>
    </row>
    <row r="241" spans="1:18">
      <c r="A241" s="6" t="s">
        <v>2702</v>
      </c>
      <c r="B241" s="6" t="s">
        <v>2703</v>
      </c>
      <c r="C241" s="6" t="s">
        <v>2704</v>
      </c>
      <c r="E241" s="6" t="s">
        <v>2704</v>
      </c>
      <c r="F241" s="6" t="s">
        <v>2704</v>
      </c>
      <c r="G241" s="6" t="s">
        <v>2704</v>
      </c>
      <c r="H241" s="6" t="s">
        <v>2704</v>
      </c>
      <c r="I241" s="6" t="s">
        <v>2705</v>
      </c>
      <c r="J241" s="6">
        <v>608</v>
      </c>
      <c r="K241" s="8">
        <v>171</v>
      </c>
      <c r="L241" s="6" t="s">
        <v>1806</v>
      </c>
      <c r="M241" s="6" t="s">
        <v>3928</v>
      </c>
      <c r="N241" s="6" t="s">
        <v>1807</v>
      </c>
      <c r="O241" s="6" t="s">
        <v>1807</v>
      </c>
      <c r="P241" s="6" t="s">
        <v>1807</v>
      </c>
      <c r="Q241" s="6" t="s">
        <v>1808</v>
      </c>
      <c r="R241" s="6" t="s">
        <v>2706</v>
      </c>
    </row>
    <row r="242" spans="1:18">
      <c r="A242" s="6" t="s">
        <v>2707</v>
      </c>
      <c r="B242" s="6" t="s">
        <v>2708</v>
      </c>
      <c r="C242" s="6" t="s">
        <v>2709</v>
      </c>
      <c r="E242" s="6" t="s">
        <v>2709</v>
      </c>
      <c r="F242" s="6" t="s">
        <v>2709</v>
      </c>
      <c r="G242" s="6" t="s">
        <v>2709</v>
      </c>
      <c r="H242" s="6" t="s">
        <v>2709</v>
      </c>
      <c r="I242" s="6" t="s">
        <v>2710</v>
      </c>
      <c r="J242" s="6">
        <v>586</v>
      </c>
      <c r="K242" s="8">
        <v>165</v>
      </c>
      <c r="L242" s="6" t="s">
        <v>1806</v>
      </c>
      <c r="M242" s="6" t="s">
        <v>3928</v>
      </c>
      <c r="N242" s="6" t="s">
        <v>1807</v>
      </c>
      <c r="O242" s="6" t="s">
        <v>1807</v>
      </c>
      <c r="P242" s="6" t="s">
        <v>1807</v>
      </c>
      <c r="Q242" s="6" t="s">
        <v>1808</v>
      </c>
      <c r="R242" s="6" t="s">
        <v>2711</v>
      </c>
    </row>
    <row r="243" spans="1:18">
      <c r="A243" s="6" t="s">
        <v>2712</v>
      </c>
      <c r="B243" s="6" t="s">
        <v>2713</v>
      </c>
      <c r="C243" s="6" t="s">
        <v>2714</v>
      </c>
      <c r="D243" s="6" t="s">
        <v>1949</v>
      </c>
      <c r="E243" s="6" t="s">
        <v>2714</v>
      </c>
      <c r="F243" s="6" t="s">
        <v>2714</v>
      </c>
      <c r="G243" s="6" t="s">
        <v>2714</v>
      </c>
      <c r="H243" s="6" t="s">
        <v>2714</v>
      </c>
      <c r="I243" s="6" t="s">
        <v>2715</v>
      </c>
      <c r="J243" s="6">
        <v>616</v>
      </c>
      <c r="K243" s="8">
        <v>173</v>
      </c>
      <c r="L243" s="6" t="s">
        <v>2712</v>
      </c>
      <c r="M243" s="6" t="s">
        <v>1873</v>
      </c>
      <c r="N243" s="6" t="s">
        <v>2712</v>
      </c>
      <c r="O243" s="6" t="s">
        <v>2712</v>
      </c>
      <c r="P243" s="6" t="s">
        <v>1873</v>
      </c>
      <c r="Q243" s="6" t="s">
        <v>1874</v>
      </c>
      <c r="R243" s="6" t="s">
        <v>2716</v>
      </c>
    </row>
    <row r="244" spans="1:18">
      <c r="A244" s="6" t="s">
        <v>2717</v>
      </c>
      <c r="B244" s="6" t="s">
        <v>2718</v>
      </c>
      <c r="C244" s="6" t="s">
        <v>2719</v>
      </c>
      <c r="F244" s="6" t="s">
        <v>2719</v>
      </c>
      <c r="G244" s="6" t="s">
        <v>2719</v>
      </c>
      <c r="H244" s="6" t="s">
        <v>2719</v>
      </c>
      <c r="J244" s="6">
        <v>666</v>
      </c>
      <c r="K244" s="8">
        <v>190</v>
      </c>
      <c r="L244" s="6" t="s">
        <v>1806</v>
      </c>
      <c r="M244" s="6" t="s">
        <v>3928</v>
      </c>
      <c r="N244" s="6" t="s">
        <v>1807</v>
      </c>
      <c r="O244" s="6" t="s">
        <v>1807</v>
      </c>
      <c r="P244" s="6" t="s">
        <v>1807</v>
      </c>
      <c r="Q244" s="6" t="s">
        <v>1808</v>
      </c>
      <c r="R244" s="6" t="s">
        <v>2720</v>
      </c>
    </row>
    <row r="245" spans="1:18">
      <c r="A245" s="6" t="s">
        <v>2721</v>
      </c>
      <c r="B245" s="6" t="s">
        <v>2722</v>
      </c>
      <c r="C245" s="6" t="s">
        <v>2723</v>
      </c>
      <c r="F245" s="6" t="s">
        <v>2723</v>
      </c>
      <c r="G245" s="6" t="s">
        <v>2723</v>
      </c>
      <c r="H245" s="6" t="s">
        <v>2723</v>
      </c>
      <c r="J245" s="6">
        <v>612</v>
      </c>
      <c r="K245" s="8">
        <v>172</v>
      </c>
      <c r="L245" s="6" t="s">
        <v>1806</v>
      </c>
      <c r="M245" s="6" t="s">
        <v>3928</v>
      </c>
      <c r="N245" s="6" t="s">
        <v>1807</v>
      </c>
      <c r="O245" s="6" t="s">
        <v>1807</v>
      </c>
      <c r="P245" s="6" t="s">
        <v>1807</v>
      </c>
      <c r="Q245" s="6" t="s">
        <v>1808</v>
      </c>
      <c r="R245" s="6" t="s">
        <v>2724</v>
      </c>
    </row>
    <row r="246" spans="1:18">
      <c r="A246" s="6" t="s">
        <v>2725</v>
      </c>
      <c r="B246" s="6" t="s">
        <v>2726</v>
      </c>
      <c r="C246" s="6" t="s">
        <v>2727</v>
      </c>
      <c r="E246" s="6" t="s">
        <v>2727</v>
      </c>
      <c r="F246" s="6" t="s">
        <v>2727</v>
      </c>
      <c r="G246" s="6" t="s">
        <v>2727</v>
      </c>
      <c r="H246" s="6" t="s">
        <v>2727</v>
      </c>
      <c r="I246" s="6" t="s">
        <v>2728</v>
      </c>
      <c r="K246" s="8">
        <v>177</v>
      </c>
      <c r="L246" s="6" t="s">
        <v>1806</v>
      </c>
      <c r="M246" s="6" t="s">
        <v>3928</v>
      </c>
      <c r="N246" s="6" t="s">
        <v>1807</v>
      </c>
      <c r="O246" s="6" t="s">
        <v>2729</v>
      </c>
      <c r="P246" s="6" t="s">
        <v>2729</v>
      </c>
      <c r="Q246" s="6" t="s">
        <v>1808</v>
      </c>
      <c r="R246" s="6" t="s">
        <v>2730</v>
      </c>
    </row>
    <row r="247" spans="1:18">
      <c r="A247" s="6" t="s">
        <v>2731</v>
      </c>
      <c r="B247" s="6" t="s">
        <v>2732</v>
      </c>
      <c r="C247" s="6" t="s">
        <v>2733</v>
      </c>
      <c r="F247" s="6" t="s">
        <v>2733</v>
      </c>
      <c r="G247" s="6" t="s">
        <v>2733</v>
      </c>
      <c r="H247" s="6" t="s">
        <v>2733</v>
      </c>
      <c r="I247" s="6" t="s">
        <v>1727</v>
      </c>
      <c r="J247" s="6">
        <v>275</v>
      </c>
      <c r="K247" s="8">
        <v>299</v>
      </c>
      <c r="L247" s="6" t="s">
        <v>1806</v>
      </c>
      <c r="M247" s="6" t="s">
        <v>3928</v>
      </c>
      <c r="N247" s="6" t="s">
        <v>1807</v>
      </c>
      <c r="O247" s="6" t="s">
        <v>1807</v>
      </c>
      <c r="P247" s="6" t="s">
        <v>1807</v>
      </c>
      <c r="Q247" s="6" t="s">
        <v>1808</v>
      </c>
      <c r="R247" s="6" t="s">
        <v>2734</v>
      </c>
    </row>
    <row r="248" spans="1:18">
      <c r="A248" s="6" t="s">
        <v>2735</v>
      </c>
      <c r="B248" s="6" t="s">
        <v>2736</v>
      </c>
      <c r="C248" s="6" t="s">
        <v>2737</v>
      </c>
      <c r="D248" s="6" t="s">
        <v>2738</v>
      </c>
      <c r="E248" s="6" t="s">
        <v>2737</v>
      </c>
      <c r="F248" s="6" t="s">
        <v>2737</v>
      </c>
      <c r="G248" s="6" t="s">
        <v>2737</v>
      </c>
      <c r="H248" s="6" t="s">
        <v>2737</v>
      </c>
      <c r="I248" s="6" t="s">
        <v>2739</v>
      </c>
      <c r="J248" s="6">
        <v>620</v>
      </c>
      <c r="K248" s="8">
        <v>174</v>
      </c>
      <c r="L248" s="6" t="s">
        <v>2735</v>
      </c>
      <c r="M248" s="6" t="s">
        <v>1873</v>
      </c>
      <c r="N248" s="6" t="s">
        <v>2735</v>
      </c>
      <c r="O248" s="6" t="s">
        <v>2735</v>
      </c>
      <c r="P248" s="6" t="s">
        <v>1873</v>
      </c>
      <c r="Q248" s="6" t="s">
        <v>1874</v>
      </c>
      <c r="R248" s="6" t="s">
        <v>2740</v>
      </c>
    </row>
    <row r="249" spans="1:18">
      <c r="A249" s="6" t="s">
        <v>2741</v>
      </c>
      <c r="B249" s="6" t="s">
        <v>2742</v>
      </c>
      <c r="C249" s="6" t="s">
        <v>2743</v>
      </c>
      <c r="F249" s="6" t="s">
        <v>2743</v>
      </c>
      <c r="G249" s="6" t="s">
        <v>2743</v>
      </c>
      <c r="H249" s="6" t="s">
        <v>2743</v>
      </c>
      <c r="I249" s="6" t="s">
        <v>2744</v>
      </c>
      <c r="J249" s="6">
        <v>585</v>
      </c>
      <c r="K249" s="8">
        <v>180</v>
      </c>
      <c r="L249" s="6" t="s">
        <v>1806</v>
      </c>
      <c r="M249" s="6" t="s">
        <v>3928</v>
      </c>
      <c r="N249" s="6" t="s">
        <v>1807</v>
      </c>
      <c r="O249" s="6" t="s">
        <v>1807</v>
      </c>
      <c r="P249" s="6" t="s">
        <v>1807</v>
      </c>
      <c r="Q249" s="6" t="s">
        <v>1808</v>
      </c>
      <c r="R249" s="6" t="s">
        <v>2745</v>
      </c>
    </row>
    <row r="250" spans="1:18">
      <c r="A250" s="6" t="s">
        <v>2746</v>
      </c>
      <c r="B250" s="6" t="s">
        <v>2747</v>
      </c>
      <c r="C250" s="6" t="s">
        <v>2748</v>
      </c>
      <c r="E250" s="6" t="s">
        <v>2748</v>
      </c>
      <c r="F250" s="6" t="s">
        <v>2748</v>
      </c>
      <c r="G250" s="6" t="s">
        <v>2748</v>
      </c>
      <c r="H250" s="6" t="s">
        <v>2748</v>
      </c>
      <c r="I250" s="6" t="s">
        <v>2092</v>
      </c>
      <c r="J250" s="6">
        <v>600</v>
      </c>
      <c r="K250" s="8">
        <v>169</v>
      </c>
      <c r="L250" s="6" t="s">
        <v>1806</v>
      </c>
      <c r="M250" s="6" t="s">
        <v>3928</v>
      </c>
      <c r="N250" s="6" t="s">
        <v>1807</v>
      </c>
      <c r="O250" s="6" t="s">
        <v>1807</v>
      </c>
      <c r="P250" s="6" t="s">
        <v>1807</v>
      </c>
      <c r="Q250" s="6" t="s">
        <v>1808</v>
      </c>
      <c r="R250" s="6" t="s">
        <v>2749</v>
      </c>
    </row>
    <row r="251" spans="1:18">
      <c r="A251" s="6" t="s">
        <v>2750</v>
      </c>
      <c r="B251" s="6" t="s">
        <v>2751</v>
      </c>
      <c r="C251" s="6" t="s">
        <v>2752</v>
      </c>
      <c r="E251" s="6" t="s">
        <v>2752</v>
      </c>
      <c r="F251" s="6" t="s">
        <v>2752</v>
      </c>
      <c r="G251" s="6" t="s">
        <v>2752</v>
      </c>
      <c r="H251" s="6" t="s">
        <v>2752</v>
      </c>
      <c r="I251" s="6" t="s">
        <v>2753</v>
      </c>
      <c r="J251" s="6">
        <v>634</v>
      </c>
      <c r="K251" s="8">
        <v>179</v>
      </c>
      <c r="L251" s="6" t="s">
        <v>1806</v>
      </c>
      <c r="M251" s="6" t="s">
        <v>3928</v>
      </c>
      <c r="N251" s="6" t="s">
        <v>1807</v>
      </c>
      <c r="O251" s="6" t="s">
        <v>1807</v>
      </c>
      <c r="P251" s="6" t="s">
        <v>1807</v>
      </c>
      <c r="Q251" s="6" t="s">
        <v>1808</v>
      </c>
      <c r="R251" s="6" t="s">
        <v>2754</v>
      </c>
    </row>
    <row r="252" spans="1:18">
      <c r="A252" s="6" t="s">
        <v>2755</v>
      </c>
      <c r="C252" s="6" t="s">
        <v>2756</v>
      </c>
      <c r="F252" s="6" t="s">
        <v>2756</v>
      </c>
      <c r="G252" s="6" t="s">
        <v>2756</v>
      </c>
      <c r="H252" s="6" t="s">
        <v>2756</v>
      </c>
      <c r="K252" s="8" t="s">
        <v>557</v>
      </c>
      <c r="L252" s="6" t="s">
        <v>1806</v>
      </c>
      <c r="M252" s="6" t="s">
        <v>3928</v>
      </c>
      <c r="N252" s="6" t="s">
        <v>1807</v>
      </c>
      <c r="O252" s="6" t="s">
        <v>1807</v>
      </c>
      <c r="P252" s="6" t="s">
        <v>1807</v>
      </c>
      <c r="Q252" s="6" t="s">
        <v>1808</v>
      </c>
    </row>
    <row r="253" spans="1:18">
      <c r="A253" s="6" t="s">
        <v>2757</v>
      </c>
      <c r="C253" s="6" t="s">
        <v>2758</v>
      </c>
      <c r="F253" s="6" t="s">
        <v>2758</v>
      </c>
      <c r="G253" s="6" t="s">
        <v>2758</v>
      </c>
      <c r="H253" s="6" t="s">
        <v>2758</v>
      </c>
      <c r="K253" s="8" t="s">
        <v>557</v>
      </c>
      <c r="L253" s="6" t="s">
        <v>1806</v>
      </c>
      <c r="M253" s="6" t="s">
        <v>3928</v>
      </c>
      <c r="N253" s="6" t="s">
        <v>1807</v>
      </c>
      <c r="O253" s="6" t="s">
        <v>1807</v>
      </c>
      <c r="P253" s="6" t="s">
        <v>1807</v>
      </c>
      <c r="Q253" s="6" t="s">
        <v>1808</v>
      </c>
    </row>
    <row r="254" spans="1:18">
      <c r="A254" s="6" t="s">
        <v>2759</v>
      </c>
      <c r="C254" s="6" t="s">
        <v>2760</v>
      </c>
      <c r="F254" s="6" t="s">
        <v>2760</v>
      </c>
      <c r="G254" s="6" t="s">
        <v>2760</v>
      </c>
      <c r="H254" s="6" t="s">
        <v>2760</v>
      </c>
      <c r="K254" s="8" t="s">
        <v>557</v>
      </c>
      <c r="M254" s="6" t="s">
        <v>1873</v>
      </c>
      <c r="O254" s="6" t="s">
        <v>557</v>
      </c>
      <c r="P254" s="6" t="s">
        <v>557</v>
      </c>
      <c r="Q254" s="6" t="s">
        <v>1874</v>
      </c>
    </row>
    <row r="255" spans="1:18">
      <c r="A255" s="6" t="s">
        <v>2761</v>
      </c>
      <c r="C255" s="6" t="s">
        <v>2762</v>
      </c>
      <c r="F255" s="6" t="s">
        <v>2762</v>
      </c>
      <c r="G255" s="6" t="s">
        <v>2762</v>
      </c>
      <c r="H255" s="6" t="s">
        <v>2762</v>
      </c>
      <c r="K255" s="8" t="s">
        <v>557</v>
      </c>
      <c r="L255" s="6" t="s">
        <v>1806</v>
      </c>
      <c r="M255" s="6" t="s">
        <v>3928</v>
      </c>
      <c r="N255" s="6" t="s">
        <v>1807</v>
      </c>
      <c r="O255" s="6" t="s">
        <v>1807</v>
      </c>
      <c r="P255" s="6" t="s">
        <v>1807</v>
      </c>
      <c r="Q255" s="6" t="s">
        <v>1808</v>
      </c>
    </row>
    <row r="256" spans="1:18">
      <c r="A256" s="6" t="s">
        <v>2763</v>
      </c>
      <c r="C256" s="6" t="s">
        <v>2764</v>
      </c>
      <c r="F256" s="6" t="s">
        <v>2764</v>
      </c>
      <c r="G256" s="6" t="s">
        <v>2764</v>
      </c>
      <c r="H256" s="6" t="s">
        <v>2764</v>
      </c>
      <c r="K256" s="8" t="s">
        <v>557</v>
      </c>
      <c r="L256" s="6" t="s">
        <v>1806</v>
      </c>
      <c r="M256" s="6" t="s">
        <v>3928</v>
      </c>
      <c r="N256" s="6" t="s">
        <v>1807</v>
      </c>
      <c r="O256" s="6" t="s">
        <v>1807</v>
      </c>
      <c r="P256" s="6" t="s">
        <v>1807</v>
      </c>
      <c r="Q256" s="6" t="s">
        <v>1808</v>
      </c>
    </row>
    <row r="257" spans="1:18">
      <c r="A257" s="6" t="s">
        <v>2765</v>
      </c>
      <c r="C257" s="6" t="s">
        <v>2766</v>
      </c>
      <c r="F257" s="6" t="s">
        <v>2766</v>
      </c>
      <c r="G257" s="6" t="s">
        <v>2766</v>
      </c>
      <c r="H257" s="6" t="s">
        <v>2766</v>
      </c>
      <c r="K257" s="8" t="s">
        <v>557</v>
      </c>
      <c r="M257" s="6" t="s">
        <v>1873</v>
      </c>
      <c r="O257" s="6" t="s">
        <v>557</v>
      </c>
      <c r="P257" s="6" t="s">
        <v>557</v>
      </c>
      <c r="Q257" s="6" t="s">
        <v>1874</v>
      </c>
    </row>
    <row r="258" spans="1:18">
      <c r="A258" s="6" t="s">
        <v>2767</v>
      </c>
      <c r="C258" s="6" t="s">
        <v>2768</v>
      </c>
      <c r="F258" s="6" t="s">
        <v>2768</v>
      </c>
      <c r="G258" s="6" t="s">
        <v>2768</v>
      </c>
      <c r="H258" s="6" t="s">
        <v>2768</v>
      </c>
      <c r="K258" s="8" t="s">
        <v>557</v>
      </c>
      <c r="L258" s="6" t="s">
        <v>1806</v>
      </c>
      <c r="M258" s="6" t="s">
        <v>3928</v>
      </c>
      <c r="N258" s="6" t="s">
        <v>1807</v>
      </c>
      <c r="O258" s="6" t="s">
        <v>1807</v>
      </c>
      <c r="P258" s="6" t="s">
        <v>1807</v>
      </c>
      <c r="Q258" s="6" t="s">
        <v>1808</v>
      </c>
    </row>
    <row r="259" spans="1:18">
      <c r="A259" s="6" t="s">
        <v>2769</v>
      </c>
      <c r="C259" s="6" t="s">
        <v>2770</v>
      </c>
      <c r="F259" s="6" t="s">
        <v>2770</v>
      </c>
      <c r="G259" s="6" t="s">
        <v>2770</v>
      </c>
      <c r="H259" s="6" t="s">
        <v>2770</v>
      </c>
      <c r="K259" s="8" t="s">
        <v>557</v>
      </c>
      <c r="L259" s="6" t="s">
        <v>1806</v>
      </c>
      <c r="M259" s="6" t="s">
        <v>3928</v>
      </c>
      <c r="N259" s="6" t="s">
        <v>1807</v>
      </c>
      <c r="O259" s="6" t="s">
        <v>1807</v>
      </c>
      <c r="P259" s="6" t="s">
        <v>1807</v>
      </c>
      <c r="Q259" s="6" t="s">
        <v>1808</v>
      </c>
    </row>
    <row r="260" spans="1:18">
      <c r="A260" s="6" t="s">
        <v>2771</v>
      </c>
      <c r="C260" s="6" t="s">
        <v>2772</v>
      </c>
      <c r="F260" s="6" t="s">
        <v>2772</v>
      </c>
      <c r="G260" s="6" t="s">
        <v>2772</v>
      </c>
      <c r="H260" s="6" t="s">
        <v>2772</v>
      </c>
      <c r="K260" s="8" t="s">
        <v>557</v>
      </c>
      <c r="M260" s="6" t="s">
        <v>1873</v>
      </c>
      <c r="O260" s="6" t="s">
        <v>557</v>
      </c>
      <c r="P260" s="6" t="s">
        <v>557</v>
      </c>
      <c r="Q260" s="6" t="s">
        <v>1874</v>
      </c>
    </row>
    <row r="261" spans="1:18">
      <c r="A261" s="6" t="s">
        <v>2773</v>
      </c>
      <c r="C261" s="6" t="s">
        <v>2774</v>
      </c>
      <c r="F261" s="6" t="s">
        <v>2774</v>
      </c>
      <c r="G261" s="6" t="s">
        <v>2774</v>
      </c>
      <c r="H261" s="6" t="s">
        <v>2774</v>
      </c>
      <c r="K261" s="8" t="s">
        <v>557</v>
      </c>
      <c r="L261" s="6" t="s">
        <v>1806</v>
      </c>
      <c r="M261" s="6" t="s">
        <v>3928</v>
      </c>
      <c r="N261" s="6" t="s">
        <v>1807</v>
      </c>
      <c r="O261" s="6" t="s">
        <v>1807</v>
      </c>
      <c r="P261" s="6" t="s">
        <v>1807</v>
      </c>
      <c r="Q261" s="6" t="s">
        <v>1808</v>
      </c>
    </row>
    <row r="262" spans="1:18">
      <c r="A262" s="6" t="s">
        <v>2775</v>
      </c>
      <c r="B262" s="6" t="s">
        <v>2776</v>
      </c>
      <c r="C262" s="6" t="s">
        <v>2777</v>
      </c>
      <c r="F262" s="6" t="s">
        <v>2777</v>
      </c>
      <c r="G262" s="6" t="s">
        <v>2777</v>
      </c>
      <c r="H262" s="6" t="s">
        <v>2777</v>
      </c>
      <c r="K262" s="8">
        <v>182</v>
      </c>
      <c r="L262" s="6" t="s">
        <v>2203</v>
      </c>
      <c r="M262" s="6" t="s">
        <v>1873</v>
      </c>
      <c r="N262" s="6" t="s">
        <v>2203</v>
      </c>
      <c r="O262" s="6" t="s">
        <v>2203</v>
      </c>
      <c r="P262" s="6" t="s">
        <v>1873</v>
      </c>
      <c r="Q262" s="6" t="s">
        <v>1874</v>
      </c>
      <c r="R262" s="6" t="s">
        <v>2778</v>
      </c>
    </row>
    <row r="263" spans="1:18">
      <c r="A263" s="6" t="s">
        <v>2779</v>
      </c>
      <c r="B263" s="6" t="s">
        <v>2780</v>
      </c>
      <c r="C263" s="6" t="s">
        <v>2781</v>
      </c>
      <c r="D263" s="6" t="s">
        <v>2782</v>
      </c>
      <c r="E263" s="6" t="s">
        <v>2781</v>
      </c>
      <c r="F263" s="6" t="s">
        <v>2781</v>
      </c>
      <c r="G263" s="6" t="s">
        <v>2781</v>
      </c>
      <c r="H263" s="6" t="s">
        <v>2781</v>
      </c>
      <c r="I263" s="6" t="s">
        <v>2783</v>
      </c>
      <c r="J263" s="6">
        <v>642</v>
      </c>
      <c r="K263" s="8">
        <v>183</v>
      </c>
      <c r="L263" s="6" t="s">
        <v>2779</v>
      </c>
      <c r="M263" s="6" t="s">
        <v>1873</v>
      </c>
      <c r="N263" s="6" t="s">
        <v>2779</v>
      </c>
      <c r="O263" s="6" t="s">
        <v>2779</v>
      </c>
      <c r="P263" s="6" t="s">
        <v>1873</v>
      </c>
      <c r="Q263" s="6" t="s">
        <v>1874</v>
      </c>
      <c r="R263" s="6" t="s">
        <v>2784</v>
      </c>
    </row>
    <row r="264" spans="1:18">
      <c r="A264" s="6" t="s">
        <v>1806</v>
      </c>
      <c r="B264" s="6" t="s">
        <v>1806</v>
      </c>
      <c r="C264" s="6" t="s">
        <v>1806</v>
      </c>
      <c r="F264" s="6" t="s">
        <v>1806</v>
      </c>
      <c r="G264" s="6" t="s">
        <v>1806</v>
      </c>
      <c r="H264" s="6" t="s">
        <v>1806</v>
      </c>
      <c r="K264" s="8" t="s">
        <v>557</v>
      </c>
      <c r="L264" s="6" t="s">
        <v>1806</v>
      </c>
      <c r="M264" s="6" t="s">
        <v>3928</v>
      </c>
      <c r="N264" s="6" t="s">
        <v>1807</v>
      </c>
      <c r="O264" s="6" t="s">
        <v>1807</v>
      </c>
      <c r="P264" s="6" t="s">
        <v>1807</v>
      </c>
      <c r="Q264" s="6" t="s">
        <v>1808</v>
      </c>
    </row>
    <row r="265" spans="1:18">
      <c r="A265" s="6" t="s">
        <v>2785</v>
      </c>
      <c r="B265" s="6" t="s">
        <v>2786</v>
      </c>
      <c r="C265" s="6" t="s">
        <v>2787</v>
      </c>
      <c r="D265" s="6" t="s">
        <v>2788</v>
      </c>
      <c r="E265" s="6" t="s">
        <v>2787</v>
      </c>
      <c r="F265" s="6" t="s">
        <v>2787</v>
      </c>
      <c r="G265" s="6" t="s">
        <v>4334</v>
      </c>
      <c r="H265" s="6" t="s">
        <v>2787</v>
      </c>
      <c r="I265" s="6" t="s">
        <v>2789</v>
      </c>
      <c r="J265" s="6">
        <v>688</v>
      </c>
      <c r="K265" s="8">
        <v>272</v>
      </c>
      <c r="L265" s="6" t="s">
        <v>1806</v>
      </c>
      <c r="M265" s="6" t="s">
        <v>3928</v>
      </c>
      <c r="N265" s="6" t="s">
        <v>1807</v>
      </c>
      <c r="O265" s="6" t="s">
        <v>1807</v>
      </c>
      <c r="P265" s="6" t="s">
        <v>1807</v>
      </c>
      <c r="Q265" s="6" t="s">
        <v>1808</v>
      </c>
      <c r="R265" s="6" t="s">
        <v>2790</v>
      </c>
    </row>
    <row r="266" spans="1:18">
      <c r="A266" s="6" t="s">
        <v>2791</v>
      </c>
      <c r="B266" s="6" t="s">
        <v>2792</v>
      </c>
      <c r="C266" s="6" t="s">
        <v>2793</v>
      </c>
      <c r="E266" s="6" t="s">
        <v>2793</v>
      </c>
      <c r="F266" s="6" t="s">
        <v>2793</v>
      </c>
      <c r="G266" s="6" t="s">
        <v>4333</v>
      </c>
      <c r="H266" s="6" t="s">
        <v>2793</v>
      </c>
      <c r="I266" s="6" t="s">
        <v>2794</v>
      </c>
      <c r="J266" s="6">
        <v>643</v>
      </c>
      <c r="K266" s="8">
        <v>185</v>
      </c>
      <c r="L266" s="6" t="s">
        <v>1806</v>
      </c>
      <c r="M266" s="6" t="s">
        <v>3928</v>
      </c>
      <c r="N266" s="6" t="s">
        <v>1807</v>
      </c>
      <c r="O266" s="6" t="s">
        <v>2791</v>
      </c>
      <c r="P266" s="6" t="s">
        <v>2791</v>
      </c>
      <c r="Q266" s="6" t="s">
        <v>1808</v>
      </c>
      <c r="R266" s="6" t="s">
        <v>2795</v>
      </c>
    </row>
    <row r="267" spans="1:18">
      <c r="A267" s="6" t="s">
        <v>2796</v>
      </c>
      <c r="B267" s="6" t="s">
        <v>2797</v>
      </c>
      <c r="C267" s="6" t="s">
        <v>2798</v>
      </c>
      <c r="E267" s="6" t="s">
        <v>2798</v>
      </c>
      <c r="F267" s="6" t="s">
        <v>2798</v>
      </c>
      <c r="G267" s="6" t="s">
        <v>2798</v>
      </c>
      <c r="H267" s="6" t="s">
        <v>2798</v>
      </c>
      <c r="I267" s="6" t="s">
        <v>2799</v>
      </c>
      <c r="J267" s="6">
        <v>646</v>
      </c>
      <c r="K267" s="8">
        <v>184</v>
      </c>
      <c r="L267" s="6" t="s">
        <v>1806</v>
      </c>
      <c r="M267" s="6" t="s">
        <v>3928</v>
      </c>
      <c r="N267" s="6" t="s">
        <v>1807</v>
      </c>
      <c r="O267" s="6" t="s">
        <v>1807</v>
      </c>
      <c r="P267" s="6" t="s">
        <v>1807</v>
      </c>
      <c r="Q267" s="6" t="s">
        <v>1808</v>
      </c>
      <c r="R267" s="6" t="s">
        <v>2800</v>
      </c>
    </row>
    <row r="268" spans="1:18">
      <c r="A268" s="6" t="s">
        <v>2801</v>
      </c>
      <c r="B268" s="6" t="s">
        <v>2802</v>
      </c>
      <c r="C268" s="6" t="s">
        <v>2803</v>
      </c>
      <c r="E268" s="6" t="s">
        <v>2803</v>
      </c>
      <c r="F268" s="6" t="s">
        <v>2803</v>
      </c>
      <c r="G268" s="6" t="s">
        <v>2803</v>
      </c>
      <c r="H268" s="6" t="s">
        <v>2803</v>
      </c>
      <c r="I268" s="6" t="s">
        <v>2804</v>
      </c>
      <c r="J268" s="6">
        <v>682</v>
      </c>
      <c r="K268" s="8">
        <v>194</v>
      </c>
      <c r="L268" s="6" t="s">
        <v>1806</v>
      </c>
      <c r="M268" s="6" t="s">
        <v>3928</v>
      </c>
      <c r="N268" s="6" t="s">
        <v>1807</v>
      </c>
      <c r="O268" s="6" t="s">
        <v>2801</v>
      </c>
      <c r="P268" s="6" t="s">
        <v>2801</v>
      </c>
      <c r="Q268" s="6" t="s">
        <v>1808</v>
      </c>
      <c r="R268" s="6" t="s">
        <v>2805</v>
      </c>
    </row>
    <row r="269" spans="1:18">
      <c r="A269" s="6" t="s">
        <v>2806</v>
      </c>
      <c r="B269" s="6" t="s">
        <v>2807</v>
      </c>
      <c r="C269" s="6" t="s">
        <v>2808</v>
      </c>
      <c r="E269" s="6" t="s">
        <v>2808</v>
      </c>
      <c r="F269" s="6" t="s">
        <v>2808</v>
      </c>
      <c r="G269" s="6" t="s">
        <v>2808</v>
      </c>
      <c r="H269" s="6" t="s">
        <v>2808</v>
      </c>
      <c r="J269" s="6">
        <v>90</v>
      </c>
      <c r="K269" s="8">
        <v>25</v>
      </c>
      <c r="L269" s="6" t="s">
        <v>1806</v>
      </c>
      <c r="M269" s="6" t="s">
        <v>3928</v>
      </c>
      <c r="N269" s="6" t="s">
        <v>1807</v>
      </c>
      <c r="O269" s="6" t="s">
        <v>1807</v>
      </c>
      <c r="P269" s="6" t="s">
        <v>1807</v>
      </c>
      <c r="Q269" s="6" t="s">
        <v>1808</v>
      </c>
      <c r="R269" s="6" t="s">
        <v>2809</v>
      </c>
    </row>
    <row r="270" spans="1:18">
      <c r="A270" s="6" t="s">
        <v>2810</v>
      </c>
      <c r="B270" s="6" t="s">
        <v>2811</v>
      </c>
      <c r="C270" s="6" t="s">
        <v>2812</v>
      </c>
      <c r="F270" s="6" t="s">
        <v>2812</v>
      </c>
      <c r="G270" s="6" t="s">
        <v>2812</v>
      </c>
      <c r="H270" s="6" t="s">
        <v>2812</v>
      </c>
      <c r="J270" s="6">
        <v>690</v>
      </c>
      <c r="K270" s="8">
        <v>196</v>
      </c>
      <c r="L270" s="6" t="s">
        <v>1806</v>
      </c>
      <c r="M270" s="6" t="s">
        <v>3928</v>
      </c>
      <c r="N270" s="6" t="s">
        <v>1807</v>
      </c>
      <c r="O270" s="6" t="s">
        <v>1807</v>
      </c>
      <c r="P270" s="6" t="s">
        <v>1807</v>
      </c>
      <c r="Q270" s="6" t="s">
        <v>1808</v>
      </c>
      <c r="R270" s="6" t="s">
        <v>2813</v>
      </c>
    </row>
    <row r="271" spans="1:18">
      <c r="A271" s="6" t="s">
        <v>2814</v>
      </c>
      <c r="B271" s="6" t="s">
        <v>2814</v>
      </c>
      <c r="C271" s="6" t="s">
        <v>2815</v>
      </c>
      <c r="E271" s="6" t="s">
        <v>2816</v>
      </c>
      <c r="F271" s="6" t="s">
        <v>2815</v>
      </c>
      <c r="G271" s="6" t="s">
        <v>2815</v>
      </c>
      <c r="H271" s="6" t="s">
        <v>2815</v>
      </c>
      <c r="K271" s="8">
        <v>186</v>
      </c>
      <c r="L271" s="6" t="s">
        <v>557</v>
      </c>
      <c r="M271" s="6" t="s">
        <v>557</v>
      </c>
      <c r="N271" s="6" t="s">
        <v>557</v>
      </c>
      <c r="O271" s="6" t="s">
        <v>557</v>
      </c>
      <c r="P271" s="6" t="s">
        <v>557</v>
      </c>
      <c r="Q271" s="6" t="s">
        <v>557</v>
      </c>
    </row>
    <row r="272" spans="1:18">
      <c r="A272" s="6" t="s">
        <v>2817</v>
      </c>
      <c r="B272" s="6" t="s">
        <v>2818</v>
      </c>
      <c r="C272" s="6" t="s">
        <v>2819</v>
      </c>
      <c r="E272" s="6" t="s">
        <v>2819</v>
      </c>
      <c r="F272" s="6" t="s">
        <v>2819</v>
      </c>
      <c r="G272" s="6" t="s">
        <v>2819</v>
      </c>
      <c r="H272" s="6" t="s">
        <v>2819</v>
      </c>
      <c r="I272" s="6" t="s">
        <v>2820</v>
      </c>
      <c r="J272" s="6">
        <v>729</v>
      </c>
      <c r="K272" s="8">
        <v>276</v>
      </c>
      <c r="L272" s="6" t="s">
        <v>1806</v>
      </c>
      <c r="M272" s="6" t="s">
        <v>3928</v>
      </c>
      <c r="N272" s="6" t="s">
        <v>1807</v>
      </c>
      <c r="O272" s="6" t="s">
        <v>1807</v>
      </c>
      <c r="P272" s="6" t="s">
        <v>1807</v>
      </c>
      <c r="Q272" s="6" t="s">
        <v>1808</v>
      </c>
      <c r="R272" s="6" t="s">
        <v>2821</v>
      </c>
    </row>
    <row r="273" spans="1:18">
      <c r="A273" s="6" t="s">
        <v>2822</v>
      </c>
      <c r="B273" s="6" t="s">
        <v>2823</v>
      </c>
      <c r="C273" s="6" t="s">
        <v>2824</v>
      </c>
      <c r="F273" s="6" t="s">
        <v>2824</v>
      </c>
      <c r="G273" s="6" t="s">
        <v>4335</v>
      </c>
      <c r="H273" s="6" t="s">
        <v>2824</v>
      </c>
      <c r="J273" s="6">
        <v>736</v>
      </c>
      <c r="K273" s="8">
        <v>206</v>
      </c>
      <c r="L273" s="6" t="s">
        <v>1806</v>
      </c>
      <c r="M273" s="6" t="s">
        <v>3928</v>
      </c>
      <c r="N273" s="6" t="s">
        <v>1807</v>
      </c>
      <c r="O273" s="6" t="s">
        <v>1807</v>
      </c>
      <c r="P273" s="6" t="s">
        <v>1807</v>
      </c>
      <c r="Q273" s="6" t="s">
        <v>1808</v>
      </c>
      <c r="R273" s="6" t="s">
        <v>2821</v>
      </c>
    </row>
    <row r="274" spans="1:18">
      <c r="A274" s="6" t="s">
        <v>2825</v>
      </c>
      <c r="B274" s="6" t="s">
        <v>2826</v>
      </c>
      <c r="C274" s="6" t="s">
        <v>2827</v>
      </c>
      <c r="D274" s="6" t="s">
        <v>2828</v>
      </c>
      <c r="E274" s="6" t="s">
        <v>2827</v>
      </c>
      <c r="F274" s="6" t="s">
        <v>2827</v>
      </c>
      <c r="G274" s="6" t="s">
        <v>2827</v>
      </c>
      <c r="H274" s="6" t="s">
        <v>2827</v>
      </c>
      <c r="I274" s="6" t="s">
        <v>2829</v>
      </c>
      <c r="J274" s="6">
        <v>752</v>
      </c>
      <c r="K274" s="8">
        <v>210</v>
      </c>
      <c r="L274" s="6" t="s">
        <v>2825</v>
      </c>
      <c r="M274" s="6" t="s">
        <v>1873</v>
      </c>
      <c r="N274" s="6" t="s">
        <v>2825</v>
      </c>
      <c r="O274" s="6" t="s">
        <v>2825</v>
      </c>
      <c r="P274" s="6" t="s">
        <v>1873</v>
      </c>
      <c r="Q274" s="6" t="s">
        <v>1874</v>
      </c>
      <c r="R274" s="6" t="s">
        <v>2830</v>
      </c>
    </row>
    <row r="275" spans="1:18">
      <c r="A275" s="6" t="s">
        <v>2831</v>
      </c>
      <c r="B275" s="6" t="s">
        <v>2832</v>
      </c>
      <c r="C275" s="6" t="s">
        <v>2833</v>
      </c>
      <c r="E275" s="6" t="s">
        <v>2833</v>
      </c>
      <c r="F275" s="6" t="s">
        <v>2833</v>
      </c>
      <c r="G275" s="6" t="s">
        <v>2833</v>
      </c>
      <c r="H275" s="6" t="s">
        <v>2833</v>
      </c>
      <c r="I275" s="6" t="s">
        <v>2834</v>
      </c>
      <c r="J275" s="6">
        <v>702</v>
      </c>
      <c r="K275" s="8">
        <v>200</v>
      </c>
      <c r="L275" s="6" t="s">
        <v>1806</v>
      </c>
      <c r="M275" s="6" t="s">
        <v>3928</v>
      </c>
      <c r="N275" s="6" t="s">
        <v>1807</v>
      </c>
      <c r="O275" s="6" t="s">
        <v>1807</v>
      </c>
      <c r="P275" s="6" t="s">
        <v>1807</v>
      </c>
      <c r="Q275" s="6" t="s">
        <v>1808</v>
      </c>
      <c r="R275" s="6" t="s">
        <v>2835</v>
      </c>
    </row>
    <row r="276" spans="1:18">
      <c r="A276" s="6" t="s">
        <v>2836</v>
      </c>
      <c r="B276" s="6" t="s">
        <v>2837</v>
      </c>
      <c r="C276" s="6" t="s">
        <v>2838</v>
      </c>
      <c r="F276" s="6" t="s">
        <v>2838</v>
      </c>
      <c r="G276" s="6" t="s">
        <v>2838</v>
      </c>
      <c r="H276" s="6" t="s">
        <v>2838</v>
      </c>
      <c r="J276" s="6">
        <v>654</v>
      </c>
      <c r="K276" s="8">
        <v>187</v>
      </c>
      <c r="L276" s="6" t="s">
        <v>1806</v>
      </c>
      <c r="M276" s="6" t="s">
        <v>3928</v>
      </c>
      <c r="N276" s="6" t="s">
        <v>1807</v>
      </c>
      <c r="O276" s="6" t="s">
        <v>1807</v>
      </c>
      <c r="P276" s="6" t="s">
        <v>1807</v>
      </c>
      <c r="Q276" s="6" t="s">
        <v>1808</v>
      </c>
      <c r="R276" s="6" t="s">
        <v>2839</v>
      </c>
    </row>
    <row r="277" spans="1:18">
      <c r="A277" s="6" t="s">
        <v>2840</v>
      </c>
      <c r="B277" s="6" t="s">
        <v>2841</v>
      </c>
      <c r="C277" s="6" t="s">
        <v>2842</v>
      </c>
      <c r="D277" s="6" t="s">
        <v>1681</v>
      </c>
      <c r="E277" s="6" t="s">
        <v>2842</v>
      </c>
      <c r="F277" s="6" t="s">
        <v>2842</v>
      </c>
      <c r="G277" s="6" t="s">
        <v>2842</v>
      </c>
      <c r="H277" s="6" t="s">
        <v>2842</v>
      </c>
      <c r="I277" s="6" t="s">
        <v>2843</v>
      </c>
      <c r="J277" s="6">
        <v>705</v>
      </c>
      <c r="K277" s="8">
        <v>198</v>
      </c>
      <c r="L277" s="6" t="s">
        <v>2840</v>
      </c>
      <c r="M277" s="6" t="s">
        <v>1873</v>
      </c>
      <c r="N277" s="6" t="s">
        <v>2840</v>
      </c>
      <c r="O277" s="6" t="s">
        <v>2840</v>
      </c>
      <c r="P277" s="6" t="s">
        <v>1873</v>
      </c>
      <c r="Q277" s="6" t="s">
        <v>1874</v>
      </c>
      <c r="R277" s="6" t="s">
        <v>2844</v>
      </c>
    </row>
    <row r="278" spans="1:18">
      <c r="A278" s="6" t="s">
        <v>2845</v>
      </c>
      <c r="B278" s="6" t="s">
        <v>2846</v>
      </c>
      <c r="C278" s="6" t="s">
        <v>2847</v>
      </c>
      <c r="F278" s="6" t="s">
        <v>2847</v>
      </c>
      <c r="G278" s="6" t="s">
        <v>2847</v>
      </c>
      <c r="H278" s="6" t="s">
        <v>2847</v>
      </c>
      <c r="K278" s="8">
        <v>260</v>
      </c>
      <c r="L278" s="6" t="s">
        <v>1806</v>
      </c>
      <c r="M278" s="6" t="s">
        <v>3928</v>
      </c>
      <c r="N278" s="6" t="s">
        <v>1807</v>
      </c>
      <c r="O278" s="6" t="s">
        <v>2654</v>
      </c>
      <c r="P278" s="6" t="s">
        <v>2654</v>
      </c>
      <c r="Q278" s="6" t="s">
        <v>1808</v>
      </c>
      <c r="R278" s="6" t="s">
        <v>2848</v>
      </c>
    </row>
    <row r="279" spans="1:18">
      <c r="A279" s="6" t="s">
        <v>2849</v>
      </c>
      <c r="B279" s="6" t="s">
        <v>2850</v>
      </c>
      <c r="C279" s="6" t="s">
        <v>2851</v>
      </c>
      <c r="D279" s="6" t="s">
        <v>2852</v>
      </c>
      <c r="E279" s="6" t="s">
        <v>2851</v>
      </c>
      <c r="F279" s="6" t="s">
        <v>2851</v>
      </c>
      <c r="G279" s="6" t="s">
        <v>2851</v>
      </c>
      <c r="H279" s="6" t="s">
        <v>2853</v>
      </c>
      <c r="I279" s="6" t="s">
        <v>2854</v>
      </c>
      <c r="J279" s="6">
        <v>703</v>
      </c>
      <c r="K279" s="8">
        <v>199</v>
      </c>
      <c r="L279" s="6" t="s">
        <v>2849</v>
      </c>
      <c r="M279" s="6" t="s">
        <v>1873</v>
      </c>
      <c r="N279" s="6" t="s">
        <v>2849</v>
      </c>
      <c r="O279" s="6" t="s">
        <v>2849</v>
      </c>
      <c r="P279" s="6" t="s">
        <v>1873</v>
      </c>
      <c r="Q279" s="6" t="s">
        <v>1874</v>
      </c>
      <c r="R279" s="6" t="s">
        <v>2855</v>
      </c>
    </row>
    <row r="280" spans="1:18">
      <c r="A280" s="6" t="s">
        <v>2856</v>
      </c>
      <c r="B280" s="6" t="s">
        <v>2857</v>
      </c>
      <c r="C280" s="6" t="s">
        <v>2858</v>
      </c>
      <c r="E280" s="6" t="s">
        <v>2858</v>
      </c>
      <c r="F280" s="6" t="s">
        <v>2858</v>
      </c>
      <c r="G280" s="6" t="s">
        <v>2858</v>
      </c>
      <c r="H280" s="6" t="s">
        <v>2858</v>
      </c>
      <c r="J280" s="6">
        <v>694</v>
      </c>
      <c r="K280" s="8">
        <v>197</v>
      </c>
      <c r="L280" s="6" t="s">
        <v>1806</v>
      </c>
      <c r="M280" s="6" t="s">
        <v>3928</v>
      </c>
      <c r="N280" s="6" t="s">
        <v>1807</v>
      </c>
      <c r="O280" s="6" t="s">
        <v>1807</v>
      </c>
      <c r="P280" s="6" t="s">
        <v>1807</v>
      </c>
      <c r="Q280" s="6" t="s">
        <v>1808</v>
      </c>
      <c r="R280" s="6" t="s">
        <v>2859</v>
      </c>
    </row>
    <row r="281" spans="1:18">
      <c r="A281" s="6" t="s">
        <v>2860</v>
      </c>
      <c r="B281" s="6" t="s">
        <v>2861</v>
      </c>
      <c r="C281" s="6" t="s">
        <v>2862</v>
      </c>
      <c r="F281" s="6" t="s">
        <v>2862</v>
      </c>
      <c r="G281" s="6" t="s">
        <v>2862</v>
      </c>
      <c r="H281" s="6" t="s">
        <v>2862</v>
      </c>
      <c r="I281" s="6" t="s">
        <v>2863</v>
      </c>
      <c r="J281" s="6">
        <v>674</v>
      </c>
      <c r="K281" s="8">
        <v>192</v>
      </c>
      <c r="L281" s="6" t="s">
        <v>1806</v>
      </c>
      <c r="M281" s="6" t="s">
        <v>3928</v>
      </c>
      <c r="N281" s="6" t="s">
        <v>1807</v>
      </c>
      <c r="O281" s="6" t="s">
        <v>1807</v>
      </c>
      <c r="P281" s="6" t="s">
        <v>1807</v>
      </c>
      <c r="Q281" s="6" t="s">
        <v>1808</v>
      </c>
      <c r="R281" s="6" t="s">
        <v>2864</v>
      </c>
    </row>
    <row r="282" spans="1:18">
      <c r="A282" s="6" t="s">
        <v>2865</v>
      </c>
      <c r="B282" s="6" t="s">
        <v>2866</v>
      </c>
      <c r="C282" s="6" t="s">
        <v>2867</v>
      </c>
      <c r="E282" s="6" t="s">
        <v>2867</v>
      </c>
      <c r="F282" s="6" t="s">
        <v>2867</v>
      </c>
      <c r="G282" s="6" t="s">
        <v>2867</v>
      </c>
      <c r="H282" s="6" t="s">
        <v>2867</v>
      </c>
      <c r="I282" s="6" t="s">
        <v>2868</v>
      </c>
      <c r="J282" s="6">
        <v>686</v>
      </c>
      <c r="K282" s="8">
        <v>195</v>
      </c>
      <c r="L282" s="6" t="s">
        <v>1806</v>
      </c>
      <c r="M282" s="6" t="s">
        <v>3928</v>
      </c>
      <c r="N282" s="6" t="s">
        <v>1807</v>
      </c>
      <c r="O282" s="6" t="s">
        <v>1807</v>
      </c>
      <c r="P282" s="6" t="s">
        <v>1807</v>
      </c>
      <c r="Q282" s="6" t="s">
        <v>1808</v>
      </c>
      <c r="R282" s="6" t="s">
        <v>2869</v>
      </c>
    </row>
    <row r="283" spans="1:18">
      <c r="A283" s="6" t="s">
        <v>2870</v>
      </c>
      <c r="B283" s="6" t="s">
        <v>2871</v>
      </c>
      <c r="C283" s="6" t="s">
        <v>2872</v>
      </c>
      <c r="E283" s="6" t="s">
        <v>2872</v>
      </c>
      <c r="F283" s="6" t="s">
        <v>2872</v>
      </c>
      <c r="G283" s="6" t="s">
        <v>2872</v>
      </c>
      <c r="H283" s="6" t="s">
        <v>2872</v>
      </c>
      <c r="J283" s="6">
        <v>706</v>
      </c>
      <c r="K283" s="8">
        <v>201</v>
      </c>
      <c r="L283" s="6" t="s">
        <v>1806</v>
      </c>
      <c r="M283" s="6" t="s">
        <v>3928</v>
      </c>
      <c r="N283" s="6" t="s">
        <v>1807</v>
      </c>
      <c r="O283" s="6" t="s">
        <v>1807</v>
      </c>
      <c r="P283" s="6" t="s">
        <v>1807</v>
      </c>
      <c r="Q283" s="6" t="s">
        <v>1808</v>
      </c>
      <c r="R283" s="6" t="s">
        <v>2873</v>
      </c>
    </row>
    <row r="284" spans="1:18">
      <c r="A284" s="6" t="s">
        <v>2874</v>
      </c>
      <c r="B284" s="6" t="s">
        <v>2875</v>
      </c>
      <c r="C284" s="6" t="s">
        <v>2876</v>
      </c>
      <c r="E284" s="6" t="s">
        <v>2876</v>
      </c>
      <c r="F284" s="6" t="s">
        <v>2876</v>
      </c>
      <c r="G284" s="6" t="s">
        <v>2876</v>
      </c>
      <c r="H284" s="6" t="s">
        <v>2876</v>
      </c>
      <c r="I284" s="6" t="s">
        <v>2877</v>
      </c>
      <c r="J284" s="6">
        <v>740</v>
      </c>
      <c r="K284" s="8">
        <v>207</v>
      </c>
      <c r="L284" s="6" t="s">
        <v>1806</v>
      </c>
      <c r="M284" s="6" t="s">
        <v>3928</v>
      </c>
      <c r="N284" s="6" t="s">
        <v>1807</v>
      </c>
      <c r="O284" s="6" t="s">
        <v>1807</v>
      </c>
      <c r="P284" s="6" t="s">
        <v>1807</v>
      </c>
      <c r="Q284" s="6" t="s">
        <v>1808</v>
      </c>
      <c r="R284" s="6" t="s">
        <v>2878</v>
      </c>
    </row>
    <row r="285" spans="1:18">
      <c r="A285" s="6" t="s">
        <v>2879</v>
      </c>
      <c r="B285" s="6" t="s">
        <v>2880</v>
      </c>
      <c r="C285" s="6" t="s">
        <v>2881</v>
      </c>
      <c r="E285" s="6" t="s">
        <v>2881</v>
      </c>
      <c r="F285" s="6" t="s">
        <v>2881</v>
      </c>
      <c r="G285" s="6" t="s">
        <v>2881</v>
      </c>
      <c r="H285" s="6" t="s">
        <v>2881</v>
      </c>
      <c r="J285" s="6">
        <v>728</v>
      </c>
      <c r="K285" s="8">
        <v>277</v>
      </c>
      <c r="L285" s="6" t="s">
        <v>1806</v>
      </c>
      <c r="M285" s="6" t="s">
        <v>3928</v>
      </c>
      <c r="N285" s="6" t="s">
        <v>1807</v>
      </c>
      <c r="O285" s="6" t="s">
        <v>1807</v>
      </c>
      <c r="P285" s="6" t="s">
        <v>1807</v>
      </c>
      <c r="Q285" s="6" t="s">
        <v>1808</v>
      </c>
      <c r="R285" s="6" t="s">
        <v>2882</v>
      </c>
    </row>
    <row r="286" spans="1:18">
      <c r="A286" s="6" t="s">
        <v>2883</v>
      </c>
      <c r="B286" s="6" t="s">
        <v>2884</v>
      </c>
      <c r="C286" s="6" t="s">
        <v>2885</v>
      </c>
      <c r="F286" s="6" t="s">
        <v>2885</v>
      </c>
      <c r="G286" s="6" t="s">
        <v>2885</v>
      </c>
      <c r="H286" s="6" t="s">
        <v>2885</v>
      </c>
      <c r="I286" s="6" t="s">
        <v>2886</v>
      </c>
      <c r="J286" s="6">
        <v>678</v>
      </c>
      <c r="K286" s="8">
        <v>193</v>
      </c>
      <c r="L286" s="6" t="s">
        <v>1806</v>
      </c>
      <c r="M286" s="6" t="s">
        <v>3928</v>
      </c>
      <c r="N286" s="6" t="s">
        <v>1807</v>
      </c>
      <c r="O286" s="6" t="s">
        <v>1807</v>
      </c>
      <c r="P286" s="6" t="s">
        <v>1807</v>
      </c>
      <c r="Q286" s="6" t="s">
        <v>1808</v>
      </c>
      <c r="R286" s="6" t="s">
        <v>2887</v>
      </c>
    </row>
    <row r="287" spans="1:18">
      <c r="A287" s="6" t="s">
        <v>2888</v>
      </c>
      <c r="B287" s="6" t="s">
        <v>2888</v>
      </c>
      <c r="C287" s="6" t="s">
        <v>2889</v>
      </c>
      <c r="F287" s="6" t="s">
        <v>2889</v>
      </c>
      <c r="G287" s="6" t="s">
        <v>4341</v>
      </c>
      <c r="H287" s="6" t="s">
        <v>2889</v>
      </c>
      <c r="K287" s="8">
        <v>228</v>
      </c>
      <c r="L287" s="6" t="s">
        <v>557</v>
      </c>
      <c r="M287" s="6" t="s">
        <v>557</v>
      </c>
      <c r="N287" s="6" t="s">
        <v>557</v>
      </c>
      <c r="O287" s="6" t="s">
        <v>557</v>
      </c>
      <c r="P287" s="6" t="s">
        <v>557</v>
      </c>
      <c r="Q287" s="6" t="s">
        <v>557</v>
      </c>
    </row>
    <row r="288" spans="1:18">
      <c r="A288" s="6" t="s">
        <v>2890</v>
      </c>
      <c r="B288" s="6" t="s">
        <v>2891</v>
      </c>
      <c r="C288" s="6" t="s">
        <v>2892</v>
      </c>
      <c r="E288" s="6" t="s">
        <v>2892</v>
      </c>
      <c r="F288" s="6" t="s">
        <v>2892</v>
      </c>
      <c r="G288" s="6" t="s">
        <v>2892</v>
      </c>
      <c r="H288" s="6" t="s">
        <v>2892</v>
      </c>
      <c r="I288" s="6" t="s">
        <v>1709</v>
      </c>
      <c r="J288" s="6">
        <v>222</v>
      </c>
      <c r="K288" s="8">
        <v>60</v>
      </c>
      <c r="L288" s="6" t="s">
        <v>1806</v>
      </c>
      <c r="M288" s="6" t="s">
        <v>3928</v>
      </c>
      <c r="N288" s="6" t="s">
        <v>1807</v>
      </c>
      <c r="O288" s="6" t="s">
        <v>1807</v>
      </c>
      <c r="P288" s="6" t="s">
        <v>1807</v>
      </c>
      <c r="Q288" s="6" t="s">
        <v>1808</v>
      </c>
      <c r="R288" s="6" t="s">
        <v>2893</v>
      </c>
    </row>
    <row r="289" spans="1:18">
      <c r="A289" s="6" t="s">
        <v>2894</v>
      </c>
      <c r="B289" s="6" t="s">
        <v>2895</v>
      </c>
      <c r="C289" s="6" t="s">
        <v>2896</v>
      </c>
      <c r="F289" s="6" t="s">
        <v>2896</v>
      </c>
      <c r="G289" s="6" t="s">
        <v>2896</v>
      </c>
      <c r="H289" s="6" t="s">
        <v>2896</v>
      </c>
      <c r="J289" s="6">
        <v>534</v>
      </c>
      <c r="K289" s="8">
        <v>280</v>
      </c>
      <c r="L289" s="6" t="s">
        <v>1806</v>
      </c>
      <c r="M289" s="6" t="s">
        <v>3928</v>
      </c>
      <c r="N289" s="6" t="s">
        <v>1807</v>
      </c>
      <c r="O289" s="6" t="s">
        <v>1807</v>
      </c>
      <c r="P289" s="6" t="s">
        <v>1807</v>
      </c>
      <c r="Q289" s="6" t="s">
        <v>1808</v>
      </c>
      <c r="R289" s="6" t="s">
        <v>2897</v>
      </c>
    </row>
    <row r="290" spans="1:18">
      <c r="A290" s="6" t="s">
        <v>2898</v>
      </c>
      <c r="B290" s="6" t="s">
        <v>2899</v>
      </c>
      <c r="C290" s="6" t="s">
        <v>2900</v>
      </c>
      <c r="E290" s="6" t="s">
        <v>2900</v>
      </c>
      <c r="F290" s="6" t="s">
        <v>2900</v>
      </c>
      <c r="G290" s="6" t="s">
        <v>2900</v>
      </c>
      <c r="H290" s="6" t="s">
        <v>2900</v>
      </c>
      <c r="I290" s="6" t="s">
        <v>2901</v>
      </c>
      <c r="J290" s="6">
        <v>760</v>
      </c>
      <c r="K290" s="8">
        <v>212</v>
      </c>
      <c r="L290" s="6" t="s">
        <v>1806</v>
      </c>
      <c r="M290" s="6" t="s">
        <v>3928</v>
      </c>
      <c r="N290" s="6" t="s">
        <v>1807</v>
      </c>
      <c r="O290" s="6" t="s">
        <v>1807</v>
      </c>
      <c r="P290" s="6" t="s">
        <v>1807</v>
      </c>
      <c r="Q290" s="6" t="s">
        <v>1808</v>
      </c>
      <c r="R290" s="6" t="s">
        <v>2902</v>
      </c>
    </row>
    <row r="291" spans="1:18">
      <c r="A291" s="6" t="s">
        <v>2903</v>
      </c>
      <c r="B291" s="6" t="s">
        <v>2904</v>
      </c>
      <c r="C291" s="6" t="s">
        <v>2905</v>
      </c>
      <c r="E291" s="6" t="s">
        <v>2905</v>
      </c>
      <c r="F291" s="6" t="s">
        <v>2905</v>
      </c>
      <c r="G291" s="6" t="s">
        <v>4336</v>
      </c>
      <c r="H291" s="6" t="s">
        <v>2905</v>
      </c>
      <c r="I291" s="6" t="s">
        <v>2906</v>
      </c>
      <c r="J291" s="6">
        <v>748</v>
      </c>
      <c r="K291" s="8">
        <v>209</v>
      </c>
      <c r="L291" s="6" t="s">
        <v>1806</v>
      </c>
      <c r="M291" s="6" t="s">
        <v>3928</v>
      </c>
      <c r="N291" s="6" t="s">
        <v>1807</v>
      </c>
      <c r="O291" s="6" t="s">
        <v>1807</v>
      </c>
      <c r="P291" s="6" t="s">
        <v>1807</v>
      </c>
      <c r="Q291" s="6" t="s">
        <v>1808</v>
      </c>
      <c r="R291" s="6" t="s">
        <v>2907</v>
      </c>
    </row>
    <row r="292" spans="1:18">
      <c r="A292" s="6" t="s">
        <v>2908</v>
      </c>
      <c r="B292" s="6" t="s">
        <v>2909</v>
      </c>
      <c r="C292" s="6" t="s">
        <v>2910</v>
      </c>
      <c r="F292" s="6" t="s">
        <v>2910</v>
      </c>
      <c r="G292" s="6" t="s">
        <v>2910</v>
      </c>
      <c r="H292" s="6" t="s">
        <v>2910</v>
      </c>
      <c r="J292" s="6">
        <v>796</v>
      </c>
      <c r="K292" s="8">
        <v>224</v>
      </c>
      <c r="L292" s="6" t="s">
        <v>1806</v>
      </c>
      <c r="M292" s="6" t="s">
        <v>3928</v>
      </c>
      <c r="N292" s="6" t="s">
        <v>1807</v>
      </c>
      <c r="O292" s="6" t="s">
        <v>1807</v>
      </c>
      <c r="P292" s="6" t="s">
        <v>1807</v>
      </c>
      <c r="Q292" s="6" t="s">
        <v>1808</v>
      </c>
      <c r="R292" s="6" t="s">
        <v>2911</v>
      </c>
    </row>
    <row r="293" spans="1:18">
      <c r="A293" s="6" t="s">
        <v>2912</v>
      </c>
      <c r="B293" s="6" t="s">
        <v>2913</v>
      </c>
      <c r="C293" s="6" t="s">
        <v>2914</v>
      </c>
      <c r="E293" s="6" t="s">
        <v>2914</v>
      </c>
      <c r="F293" s="6" t="s">
        <v>2914</v>
      </c>
      <c r="G293" s="6" t="s">
        <v>2914</v>
      </c>
      <c r="H293" s="6" t="s">
        <v>2914</v>
      </c>
      <c r="I293" s="6" t="s">
        <v>2915</v>
      </c>
      <c r="J293" s="6">
        <v>148</v>
      </c>
      <c r="K293" s="8">
        <v>39</v>
      </c>
      <c r="L293" s="6" t="s">
        <v>1806</v>
      </c>
      <c r="M293" s="6" t="s">
        <v>3928</v>
      </c>
      <c r="N293" s="6" t="s">
        <v>1807</v>
      </c>
      <c r="O293" s="6" t="s">
        <v>1807</v>
      </c>
      <c r="P293" s="6" t="s">
        <v>1807</v>
      </c>
      <c r="Q293" s="6" t="s">
        <v>1808</v>
      </c>
      <c r="R293" s="6" t="s">
        <v>2916</v>
      </c>
    </row>
    <row r="294" spans="1:18">
      <c r="A294" s="6" t="s">
        <v>2917</v>
      </c>
      <c r="B294" s="6" t="s">
        <v>2918</v>
      </c>
      <c r="C294" s="6" t="s">
        <v>2919</v>
      </c>
      <c r="F294" s="6" t="s">
        <v>2919</v>
      </c>
      <c r="G294" s="6" t="s">
        <v>2919</v>
      </c>
      <c r="H294" s="6" t="s">
        <v>2919</v>
      </c>
      <c r="J294" s="6">
        <v>260</v>
      </c>
      <c r="K294" s="8">
        <v>71</v>
      </c>
      <c r="L294" s="6" t="s">
        <v>1806</v>
      </c>
      <c r="M294" s="6" t="s">
        <v>3928</v>
      </c>
      <c r="N294" s="6" t="s">
        <v>1807</v>
      </c>
      <c r="O294" s="6" t="s">
        <v>1807</v>
      </c>
      <c r="P294" s="6" t="s">
        <v>1807</v>
      </c>
      <c r="Q294" s="6" t="s">
        <v>1808</v>
      </c>
      <c r="R294" s="6" t="s">
        <v>2920</v>
      </c>
    </row>
    <row r="295" spans="1:18">
      <c r="A295" s="6" t="s">
        <v>2921</v>
      </c>
      <c r="B295" s="6" t="s">
        <v>2922</v>
      </c>
      <c r="C295" s="6" t="s">
        <v>2923</v>
      </c>
      <c r="E295" s="6" t="s">
        <v>2923</v>
      </c>
      <c r="F295" s="6" t="s">
        <v>2923</v>
      </c>
      <c r="G295" s="6" t="s">
        <v>2923</v>
      </c>
      <c r="H295" s="6" t="s">
        <v>2923</v>
      </c>
      <c r="I295" s="6" t="s">
        <v>2924</v>
      </c>
      <c r="J295" s="6">
        <v>768</v>
      </c>
      <c r="K295" s="8">
        <v>217</v>
      </c>
      <c r="L295" s="6" t="s">
        <v>1806</v>
      </c>
      <c r="M295" s="6" t="s">
        <v>3928</v>
      </c>
      <c r="N295" s="6" t="s">
        <v>1807</v>
      </c>
      <c r="O295" s="6" t="s">
        <v>1807</v>
      </c>
      <c r="P295" s="6" t="s">
        <v>1807</v>
      </c>
      <c r="Q295" s="6" t="s">
        <v>1808</v>
      </c>
      <c r="R295" s="6" t="s">
        <v>2925</v>
      </c>
    </row>
    <row r="296" spans="1:18">
      <c r="A296" s="6" t="s">
        <v>2926</v>
      </c>
      <c r="B296" s="6" t="s">
        <v>2927</v>
      </c>
      <c r="C296" s="6" t="s">
        <v>2928</v>
      </c>
      <c r="E296" s="6" t="s">
        <v>2928</v>
      </c>
      <c r="F296" s="6" t="s">
        <v>2928</v>
      </c>
      <c r="G296" s="6" t="s">
        <v>2928</v>
      </c>
      <c r="H296" s="6" t="s">
        <v>2928</v>
      </c>
      <c r="I296" s="6" t="s">
        <v>2929</v>
      </c>
      <c r="J296" s="6">
        <v>764</v>
      </c>
      <c r="K296" s="8">
        <v>216</v>
      </c>
      <c r="L296" s="6" t="s">
        <v>1806</v>
      </c>
      <c r="M296" s="6" t="s">
        <v>3928</v>
      </c>
      <c r="N296" s="6" t="s">
        <v>1807</v>
      </c>
      <c r="O296" s="6" t="s">
        <v>1807</v>
      </c>
      <c r="P296" s="6" t="s">
        <v>1807</v>
      </c>
      <c r="Q296" s="6" t="s">
        <v>1808</v>
      </c>
      <c r="R296" s="6" t="s">
        <v>2930</v>
      </c>
    </row>
    <row r="297" spans="1:18">
      <c r="A297" s="6" t="s">
        <v>2931</v>
      </c>
      <c r="B297" s="6" t="s">
        <v>2932</v>
      </c>
      <c r="C297" s="6" t="s">
        <v>2933</v>
      </c>
      <c r="E297" s="6" t="s">
        <v>2933</v>
      </c>
      <c r="F297" s="6" t="s">
        <v>2933</v>
      </c>
      <c r="G297" s="6" t="s">
        <v>2933</v>
      </c>
      <c r="H297" s="6" t="s">
        <v>2933</v>
      </c>
      <c r="I297" s="6" t="s">
        <v>2934</v>
      </c>
      <c r="J297" s="6">
        <v>762</v>
      </c>
      <c r="K297" s="8">
        <v>208</v>
      </c>
      <c r="L297" s="6" t="s">
        <v>1806</v>
      </c>
      <c r="M297" s="6" t="s">
        <v>3928</v>
      </c>
      <c r="N297" s="6" t="s">
        <v>1807</v>
      </c>
      <c r="O297" s="6" t="s">
        <v>1807</v>
      </c>
      <c r="P297" s="6" t="s">
        <v>1807</v>
      </c>
      <c r="Q297" s="6" t="s">
        <v>1808</v>
      </c>
      <c r="R297" s="6" t="s">
        <v>2935</v>
      </c>
    </row>
    <row r="298" spans="1:18">
      <c r="A298" s="6" t="s">
        <v>2936</v>
      </c>
      <c r="B298" s="6" t="s">
        <v>2937</v>
      </c>
      <c r="C298" s="6" t="s">
        <v>2938</v>
      </c>
      <c r="F298" s="6" t="s">
        <v>2938</v>
      </c>
      <c r="G298" s="6" t="s">
        <v>2938</v>
      </c>
      <c r="H298" s="6" t="s">
        <v>2938</v>
      </c>
      <c r="J298" s="6">
        <v>772</v>
      </c>
      <c r="K298" s="8">
        <v>218</v>
      </c>
      <c r="L298" s="6" t="s">
        <v>1806</v>
      </c>
      <c r="M298" s="6" t="s">
        <v>3928</v>
      </c>
      <c r="N298" s="6" t="s">
        <v>1807</v>
      </c>
      <c r="O298" s="6" t="s">
        <v>1807</v>
      </c>
      <c r="P298" s="6" t="s">
        <v>1807</v>
      </c>
      <c r="Q298" s="6" t="s">
        <v>1808</v>
      </c>
      <c r="R298" s="6" t="s">
        <v>2939</v>
      </c>
    </row>
    <row r="299" spans="1:18">
      <c r="A299" s="6" t="s">
        <v>2940</v>
      </c>
      <c r="B299" s="6" t="s">
        <v>2941</v>
      </c>
      <c r="C299" s="6" t="s">
        <v>2942</v>
      </c>
      <c r="F299" s="6" t="s">
        <v>2942</v>
      </c>
      <c r="G299" s="6" t="s">
        <v>2942</v>
      </c>
      <c r="H299" s="6" t="s">
        <v>2942</v>
      </c>
      <c r="J299" s="6">
        <v>626</v>
      </c>
      <c r="K299" s="8">
        <v>176</v>
      </c>
      <c r="L299" s="6" t="s">
        <v>1806</v>
      </c>
      <c r="M299" s="6" t="s">
        <v>3928</v>
      </c>
      <c r="N299" s="6" t="s">
        <v>1807</v>
      </c>
      <c r="O299" s="6" t="s">
        <v>1807</v>
      </c>
      <c r="P299" s="6" t="s">
        <v>1807</v>
      </c>
      <c r="Q299" s="6" t="s">
        <v>1808</v>
      </c>
      <c r="R299" s="6" t="s">
        <v>2943</v>
      </c>
    </row>
    <row r="300" spans="1:18">
      <c r="A300" s="6" t="s">
        <v>2944</v>
      </c>
      <c r="B300" s="6" t="s">
        <v>2945</v>
      </c>
      <c r="C300" s="6" t="s">
        <v>2946</v>
      </c>
      <c r="E300" s="6" t="s">
        <v>2946</v>
      </c>
      <c r="F300" s="6" t="s">
        <v>2946</v>
      </c>
      <c r="G300" s="6" t="s">
        <v>2946</v>
      </c>
      <c r="H300" s="6" t="s">
        <v>2946</v>
      </c>
      <c r="I300" s="6" t="s">
        <v>2947</v>
      </c>
      <c r="J300" s="6">
        <v>795</v>
      </c>
      <c r="K300" s="8">
        <v>213</v>
      </c>
      <c r="L300" s="6" t="s">
        <v>1806</v>
      </c>
      <c r="M300" s="6" t="s">
        <v>3928</v>
      </c>
      <c r="N300" s="6" t="s">
        <v>1807</v>
      </c>
      <c r="O300" s="6" t="s">
        <v>1807</v>
      </c>
      <c r="P300" s="6" t="s">
        <v>1807</v>
      </c>
      <c r="Q300" s="6" t="s">
        <v>1808</v>
      </c>
      <c r="R300" s="6" t="s">
        <v>2948</v>
      </c>
    </row>
    <row r="301" spans="1:18">
      <c r="A301" s="6" t="s">
        <v>2949</v>
      </c>
      <c r="B301" s="6" t="s">
        <v>2950</v>
      </c>
      <c r="C301" s="6" t="s">
        <v>2951</v>
      </c>
      <c r="E301" s="6" t="s">
        <v>2951</v>
      </c>
      <c r="F301" s="6" t="s">
        <v>2951</v>
      </c>
      <c r="G301" s="6" t="s">
        <v>2951</v>
      </c>
      <c r="H301" s="6" t="s">
        <v>2951</v>
      </c>
      <c r="I301" s="6" t="s">
        <v>2952</v>
      </c>
      <c r="J301" s="6">
        <v>788</v>
      </c>
      <c r="K301" s="8">
        <v>222</v>
      </c>
      <c r="L301" s="6" t="s">
        <v>1806</v>
      </c>
      <c r="M301" s="6" t="s">
        <v>3928</v>
      </c>
      <c r="N301" s="6" t="s">
        <v>1807</v>
      </c>
      <c r="O301" s="6" t="s">
        <v>1807</v>
      </c>
      <c r="P301" s="6" t="s">
        <v>1807</v>
      </c>
      <c r="Q301" s="6" t="s">
        <v>1808</v>
      </c>
      <c r="R301" s="6" t="s">
        <v>2953</v>
      </c>
    </row>
    <row r="302" spans="1:18">
      <c r="A302" s="6" t="s">
        <v>2954</v>
      </c>
      <c r="B302" s="6" t="s">
        <v>2955</v>
      </c>
      <c r="C302" s="6" t="s">
        <v>2956</v>
      </c>
      <c r="F302" s="6" t="s">
        <v>2956</v>
      </c>
      <c r="G302" s="6" t="s">
        <v>2956</v>
      </c>
      <c r="H302" s="6" t="s">
        <v>2956</v>
      </c>
      <c r="I302" s="6" t="s">
        <v>2957</v>
      </c>
      <c r="J302" s="6">
        <v>776</v>
      </c>
      <c r="K302" s="8">
        <v>219</v>
      </c>
      <c r="L302" s="6" t="s">
        <v>1806</v>
      </c>
      <c r="M302" s="6" t="s">
        <v>3928</v>
      </c>
      <c r="N302" s="6" t="s">
        <v>1807</v>
      </c>
      <c r="O302" s="6" t="s">
        <v>1807</v>
      </c>
      <c r="P302" s="6" t="s">
        <v>1807</v>
      </c>
      <c r="Q302" s="6" t="s">
        <v>1808</v>
      </c>
      <c r="R302" s="6" t="s">
        <v>2958</v>
      </c>
    </row>
    <row r="303" spans="1:18">
      <c r="A303" s="6" t="s">
        <v>688</v>
      </c>
      <c r="C303" s="6" t="s">
        <v>2959</v>
      </c>
      <c r="D303" s="6" t="s">
        <v>557</v>
      </c>
      <c r="E303" s="6" t="s">
        <v>557</v>
      </c>
      <c r="F303" s="6" t="s">
        <v>2959</v>
      </c>
      <c r="G303" s="6" t="s">
        <v>2959</v>
      </c>
      <c r="H303" s="6" t="s">
        <v>557</v>
      </c>
      <c r="I303" s="6" t="s">
        <v>557</v>
      </c>
      <c r="J303" s="6" t="s">
        <v>557</v>
      </c>
      <c r="K303" s="7">
        <v>5000</v>
      </c>
      <c r="M303" s="6" t="s">
        <v>557</v>
      </c>
      <c r="N303" s="6" t="s">
        <v>4331</v>
      </c>
      <c r="O303" s="6" t="s">
        <v>4331</v>
      </c>
      <c r="P303" s="6" t="s">
        <v>4331</v>
      </c>
      <c r="Q303" s="6" t="s">
        <v>4331</v>
      </c>
    </row>
    <row r="304" spans="1:18">
      <c r="A304" s="6" t="s">
        <v>2960</v>
      </c>
      <c r="B304" s="6" t="s">
        <v>2961</v>
      </c>
      <c r="C304" s="6" t="s">
        <v>2962</v>
      </c>
      <c r="D304" s="6" t="s">
        <v>1676</v>
      </c>
      <c r="E304" s="6" t="s">
        <v>2963</v>
      </c>
      <c r="F304" s="6" t="s">
        <v>2962</v>
      </c>
      <c r="G304" s="6" t="s">
        <v>2962</v>
      </c>
      <c r="H304" s="6" t="s">
        <v>2964</v>
      </c>
      <c r="I304" s="6" t="s">
        <v>2965</v>
      </c>
      <c r="J304" s="6">
        <v>792</v>
      </c>
      <c r="K304" s="8">
        <v>223</v>
      </c>
      <c r="L304" s="6" t="s">
        <v>1806</v>
      </c>
      <c r="M304" s="6" t="s">
        <v>3928</v>
      </c>
      <c r="N304" s="6" t="s">
        <v>1807</v>
      </c>
      <c r="O304" s="6" t="s">
        <v>2960</v>
      </c>
      <c r="P304" s="6" t="s">
        <v>2960</v>
      </c>
      <c r="Q304" s="6" t="s">
        <v>1808</v>
      </c>
      <c r="R304" s="6" t="s">
        <v>2966</v>
      </c>
    </row>
    <row r="305" spans="1:18">
      <c r="A305" s="6" t="s">
        <v>2967</v>
      </c>
      <c r="B305" s="6" t="s">
        <v>2968</v>
      </c>
      <c r="C305" s="6" t="s">
        <v>2969</v>
      </c>
      <c r="E305" s="6" t="s">
        <v>2969</v>
      </c>
      <c r="F305" s="6" t="s">
        <v>2970</v>
      </c>
      <c r="G305" s="6" t="s">
        <v>2969</v>
      </c>
      <c r="H305" s="6" t="s">
        <v>2969</v>
      </c>
      <c r="I305" s="6" t="s">
        <v>2971</v>
      </c>
      <c r="J305" s="6">
        <v>780</v>
      </c>
      <c r="K305" s="8">
        <v>220</v>
      </c>
      <c r="L305" s="6" t="s">
        <v>1806</v>
      </c>
      <c r="M305" s="6" t="s">
        <v>3928</v>
      </c>
      <c r="N305" s="6" t="s">
        <v>1807</v>
      </c>
      <c r="O305" s="6" t="s">
        <v>1807</v>
      </c>
      <c r="P305" s="6" t="s">
        <v>1807</v>
      </c>
      <c r="Q305" s="6" t="s">
        <v>1808</v>
      </c>
      <c r="R305" s="6" t="s">
        <v>2972</v>
      </c>
    </row>
    <row r="306" spans="1:18">
      <c r="A306" s="6" t="s">
        <v>2973</v>
      </c>
      <c r="B306" s="6" t="s">
        <v>2974</v>
      </c>
      <c r="C306" s="6" t="s">
        <v>2975</v>
      </c>
      <c r="F306" s="6" t="s">
        <v>2975</v>
      </c>
      <c r="G306" s="6" t="s">
        <v>2975</v>
      </c>
      <c r="H306" s="6" t="s">
        <v>2975</v>
      </c>
      <c r="J306" s="6">
        <v>798</v>
      </c>
      <c r="K306" s="8">
        <v>227</v>
      </c>
      <c r="L306" s="6" t="s">
        <v>1806</v>
      </c>
      <c r="M306" s="6" t="s">
        <v>3928</v>
      </c>
      <c r="N306" s="6" t="s">
        <v>1807</v>
      </c>
      <c r="O306" s="6" t="s">
        <v>1807</v>
      </c>
      <c r="P306" s="6" t="s">
        <v>1807</v>
      </c>
      <c r="Q306" s="6" t="s">
        <v>1808</v>
      </c>
      <c r="R306" s="6" t="s">
        <v>2976</v>
      </c>
    </row>
    <row r="307" spans="1:18">
      <c r="A307" s="6" t="s">
        <v>2977</v>
      </c>
      <c r="B307" s="6" t="s">
        <v>2978</v>
      </c>
      <c r="C307" s="6" t="s">
        <v>2979</v>
      </c>
      <c r="E307" s="6" t="s">
        <v>2979</v>
      </c>
      <c r="F307" s="6" t="s">
        <v>2979</v>
      </c>
      <c r="G307" s="6" t="s">
        <v>2979</v>
      </c>
      <c r="H307" s="6" t="s">
        <v>2979</v>
      </c>
      <c r="I307" s="6" t="s">
        <v>2980</v>
      </c>
      <c r="K307" s="8">
        <v>214</v>
      </c>
      <c r="L307" s="6" t="s">
        <v>1806</v>
      </c>
      <c r="M307" s="6" t="s">
        <v>3928</v>
      </c>
      <c r="N307" s="6" t="s">
        <v>1807</v>
      </c>
      <c r="O307" s="6" t="s">
        <v>2052</v>
      </c>
      <c r="P307" s="6" t="s">
        <v>2052</v>
      </c>
      <c r="Q307" s="6" t="s">
        <v>1808</v>
      </c>
      <c r="R307" s="6" t="s">
        <v>2981</v>
      </c>
    </row>
    <row r="308" spans="1:18">
      <c r="A308" s="6" t="s">
        <v>2982</v>
      </c>
      <c r="B308" s="6" t="s">
        <v>2983</v>
      </c>
      <c r="C308" s="6" t="s">
        <v>2984</v>
      </c>
      <c r="E308" s="6" t="s">
        <v>2984</v>
      </c>
      <c r="F308" s="6" t="s">
        <v>2984</v>
      </c>
      <c r="G308" s="6" t="s">
        <v>2984</v>
      </c>
      <c r="H308" s="6" t="s">
        <v>2984</v>
      </c>
      <c r="I308" s="6" t="s">
        <v>2985</v>
      </c>
      <c r="J308" s="6">
        <v>834</v>
      </c>
      <c r="K308" s="8">
        <v>215</v>
      </c>
      <c r="L308" s="6" t="s">
        <v>1806</v>
      </c>
      <c r="M308" s="6" t="s">
        <v>3928</v>
      </c>
      <c r="N308" s="6" t="s">
        <v>1807</v>
      </c>
      <c r="O308" s="6" t="s">
        <v>1807</v>
      </c>
      <c r="P308" s="6" t="s">
        <v>1807</v>
      </c>
      <c r="Q308" s="6" t="s">
        <v>1808</v>
      </c>
      <c r="R308" s="6" t="s">
        <v>2986</v>
      </c>
    </row>
    <row r="309" spans="1:18">
      <c r="A309" s="6" t="s">
        <v>2987</v>
      </c>
      <c r="B309" s="6" t="s">
        <v>2988</v>
      </c>
      <c r="C309" s="6" t="s">
        <v>2989</v>
      </c>
      <c r="E309" s="6" t="s">
        <v>2989</v>
      </c>
      <c r="F309" s="6" t="s">
        <v>2989</v>
      </c>
      <c r="G309" s="6" t="s">
        <v>2989</v>
      </c>
      <c r="H309" s="6" t="s">
        <v>2989</v>
      </c>
      <c r="I309" s="6" t="s">
        <v>2990</v>
      </c>
      <c r="J309" s="6">
        <v>804</v>
      </c>
      <c r="K309" s="8">
        <v>230</v>
      </c>
      <c r="L309" s="6" t="s">
        <v>1806</v>
      </c>
      <c r="M309" s="6" t="s">
        <v>3928</v>
      </c>
      <c r="N309" s="6" t="s">
        <v>1807</v>
      </c>
      <c r="O309" s="6" t="s">
        <v>1807</v>
      </c>
      <c r="P309" s="6" t="s">
        <v>1807</v>
      </c>
      <c r="Q309" s="6" t="s">
        <v>1808</v>
      </c>
      <c r="R309" s="6" t="s">
        <v>2991</v>
      </c>
    </row>
    <row r="310" spans="1:18">
      <c r="A310" s="6" t="s">
        <v>2992</v>
      </c>
      <c r="B310" s="6" t="s">
        <v>2993</v>
      </c>
      <c r="C310" s="6" t="s">
        <v>2994</v>
      </c>
      <c r="E310" s="6" t="s">
        <v>2994</v>
      </c>
      <c r="F310" s="6" t="s">
        <v>2994</v>
      </c>
      <c r="G310" s="6" t="s">
        <v>2994</v>
      </c>
      <c r="H310" s="6" t="s">
        <v>2994</v>
      </c>
      <c r="I310" s="6" t="s">
        <v>2995</v>
      </c>
      <c r="J310" s="6">
        <v>800</v>
      </c>
      <c r="K310" s="8">
        <v>226</v>
      </c>
      <c r="L310" s="6" t="s">
        <v>1806</v>
      </c>
      <c r="M310" s="6" t="s">
        <v>3928</v>
      </c>
      <c r="N310" s="6" t="s">
        <v>1807</v>
      </c>
      <c r="O310" s="6" t="s">
        <v>1807</v>
      </c>
      <c r="P310" s="6" t="s">
        <v>1807</v>
      </c>
      <c r="Q310" s="6" t="s">
        <v>1808</v>
      </c>
      <c r="R310" s="6" t="s">
        <v>2996</v>
      </c>
    </row>
    <row r="311" spans="1:18">
      <c r="A311" s="6" t="s">
        <v>2218</v>
      </c>
      <c r="K311" s="8" t="s">
        <v>557</v>
      </c>
      <c r="M311" s="6" t="s">
        <v>3928</v>
      </c>
      <c r="O311" s="6" t="s">
        <v>2218</v>
      </c>
      <c r="P311" s="6" t="s">
        <v>2218</v>
      </c>
      <c r="Q311" s="6" t="s">
        <v>1808</v>
      </c>
    </row>
    <row r="312" spans="1:18">
      <c r="A312" s="6" t="s">
        <v>2997</v>
      </c>
      <c r="B312" s="6" t="s">
        <v>2998</v>
      </c>
      <c r="C312" s="6" t="s">
        <v>2999</v>
      </c>
      <c r="F312" s="6" t="s">
        <v>2999</v>
      </c>
      <c r="G312" s="6" t="s">
        <v>2999</v>
      </c>
      <c r="H312" s="6" t="s">
        <v>2999</v>
      </c>
      <c r="K312" s="8">
        <v>232</v>
      </c>
      <c r="L312" s="6" t="s">
        <v>1806</v>
      </c>
      <c r="M312" s="6" t="s">
        <v>3928</v>
      </c>
      <c r="N312" s="6" t="s">
        <v>1807</v>
      </c>
      <c r="O312" s="6" t="s">
        <v>1807</v>
      </c>
      <c r="P312" s="6" t="s">
        <v>1807</v>
      </c>
      <c r="Q312" s="6" t="s">
        <v>1808</v>
      </c>
      <c r="R312" s="6" t="s">
        <v>3000</v>
      </c>
    </row>
    <row r="313" spans="1:18">
      <c r="A313" s="6" t="s">
        <v>2729</v>
      </c>
      <c r="B313" s="6" t="s">
        <v>3001</v>
      </c>
      <c r="C313" s="6" t="s">
        <v>3002</v>
      </c>
      <c r="E313" s="6" t="s">
        <v>3002</v>
      </c>
      <c r="F313" s="9" t="s">
        <v>3001</v>
      </c>
      <c r="G313" s="6" t="s">
        <v>4337</v>
      </c>
      <c r="H313" s="6" t="s">
        <v>3002</v>
      </c>
      <c r="I313" s="6" t="s">
        <v>3003</v>
      </c>
      <c r="J313" s="6">
        <v>842</v>
      </c>
      <c r="K313" s="8">
        <v>231</v>
      </c>
      <c r="L313" s="6" t="s">
        <v>1806</v>
      </c>
      <c r="M313" s="6" t="s">
        <v>3928</v>
      </c>
      <c r="N313" s="6" t="s">
        <v>1807</v>
      </c>
      <c r="O313" s="6" t="s">
        <v>2729</v>
      </c>
      <c r="P313" s="6" t="s">
        <v>2729</v>
      </c>
      <c r="Q313" s="6" t="s">
        <v>1808</v>
      </c>
      <c r="R313" s="6" t="s">
        <v>3004</v>
      </c>
    </row>
    <row r="314" spans="1:18">
      <c r="A314" s="6" t="s">
        <v>3005</v>
      </c>
      <c r="B314" s="6" t="s">
        <v>3006</v>
      </c>
      <c r="C314" s="6" t="s">
        <v>3007</v>
      </c>
      <c r="E314" s="6" t="s">
        <v>3007</v>
      </c>
      <c r="F314" s="6" t="s">
        <v>3007</v>
      </c>
      <c r="G314" s="6" t="s">
        <v>3007</v>
      </c>
      <c r="H314" s="6" t="s">
        <v>3007</v>
      </c>
      <c r="I314" s="6" t="s">
        <v>3008</v>
      </c>
      <c r="J314" s="6">
        <v>858</v>
      </c>
      <c r="K314" s="8">
        <v>234</v>
      </c>
      <c r="L314" s="6" t="s">
        <v>1806</v>
      </c>
      <c r="M314" s="6" t="s">
        <v>3928</v>
      </c>
      <c r="N314" s="6" t="s">
        <v>1807</v>
      </c>
      <c r="O314" s="6" t="s">
        <v>1807</v>
      </c>
      <c r="P314" s="6" t="s">
        <v>1807</v>
      </c>
      <c r="Q314" s="6" t="s">
        <v>1808</v>
      </c>
      <c r="R314" s="6" t="s">
        <v>3009</v>
      </c>
    </row>
    <row r="315" spans="1:18">
      <c r="A315" s="6" t="s">
        <v>3010</v>
      </c>
      <c r="B315" s="6" t="s">
        <v>3011</v>
      </c>
      <c r="C315" s="6" t="s">
        <v>3012</v>
      </c>
      <c r="E315" s="6" t="s">
        <v>3012</v>
      </c>
      <c r="F315" s="6" t="s">
        <v>3012</v>
      </c>
      <c r="G315" s="6" t="s">
        <v>3012</v>
      </c>
      <c r="H315" s="6" t="s">
        <v>3012</v>
      </c>
      <c r="I315" s="6" t="s">
        <v>3013</v>
      </c>
      <c r="J315" s="6">
        <v>860</v>
      </c>
      <c r="K315" s="8">
        <v>235</v>
      </c>
      <c r="L315" s="6" t="s">
        <v>1806</v>
      </c>
      <c r="M315" s="6" t="s">
        <v>3928</v>
      </c>
      <c r="N315" s="6" t="s">
        <v>1807</v>
      </c>
      <c r="O315" s="6" t="s">
        <v>1807</v>
      </c>
      <c r="P315" s="6" t="s">
        <v>1807</v>
      </c>
      <c r="Q315" s="6" t="s">
        <v>1808</v>
      </c>
      <c r="R315" s="6" t="s">
        <v>3014</v>
      </c>
    </row>
    <row r="316" spans="1:18">
      <c r="A316" s="6" t="s">
        <v>3015</v>
      </c>
      <c r="B316" s="6" t="s">
        <v>3016</v>
      </c>
      <c r="C316" s="6" t="s">
        <v>3017</v>
      </c>
      <c r="F316" s="6" t="s">
        <v>3017</v>
      </c>
      <c r="G316" s="6" t="s">
        <v>3017</v>
      </c>
      <c r="H316" s="6" t="s">
        <v>3017</v>
      </c>
      <c r="K316" s="8">
        <v>94</v>
      </c>
      <c r="L316" s="6" t="s">
        <v>1806</v>
      </c>
      <c r="M316" s="6" t="s">
        <v>3928</v>
      </c>
      <c r="N316" s="6" t="s">
        <v>1807</v>
      </c>
      <c r="O316" s="6" t="s">
        <v>1807</v>
      </c>
      <c r="P316" s="6" t="s">
        <v>1807</v>
      </c>
      <c r="Q316" s="6" t="s">
        <v>1808</v>
      </c>
      <c r="R316" s="6" t="s">
        <v>3018</v>
      </c>
    </row>
    <row r="317" spans="1:18">
      <c r="A317" s="6" t="s">
        <v>3019</v>
      </c>
      <c r="B317" s="6" t="s">
        <v>3020</v>
      </c>
      <c r="C317" s="6" t="s">
        <v>3021</v>
      </c>
      <c r="F317" s="6" t="s">
        <v>3021</v>
      </c>
      <c r="G317" s="6" t="s">
        <v>3021</v>
      </c>
      <c r="H317" s="6" t="s">
        <v>3021</v>
      </c>
      <c r="J317" s="6">
        <v>670</v>
      </c>
      <c r="K317" s="8">
        <v>191</v>
      </c>
      <c r="L317" s="6" t="s">
        <v>1806</v>
      </c>
      <c r="M317" s="6" t="s">
        <v>3928</v>
      </c>
      <c r="N317" s="6" t="s">
        <v>1807</v>
      </c>
      <c r="O317" s="6" t="s">
        <v>1807</v>
      </c>
      <c r="P317" s="6" t="s">
        <v>1807</v>
      </c>
      <c r="Q317" s="6" t="s">
        <v>1808</v>
      </c>
      <c r="R317" s="6" t="s">
        <v>3022</v>
      </c>
    </row>
    <row r="318" spans="1:18">
      <c r="A318" s="6" t="s">
        <v>3023</v>
      </c>
      <c r="B318" s="6" t="s">
        <v>3024</v>
      </c>
      <c r="C318" s="6" t="s">
        <v>3025</v>
      </c>
      <c r="E318" s="6" t="s">
        <v>3025</v>
      </c>
      <c r="F318" s="6" t="s">
        <v>3025</v>
      </c>
      <c r="G318" s="6" t="s">
        <v>3025</v>
      </c>
      <c r="H318" s="6" t="s">
        <v>3025</v>
      </c>
      <c r="J318" s="6">
        <v>862</v>
      </c>
      <c r="K318" s="8">
        <v>236</v>
      </c>
      <c r="L318" s="6" t="s">
        <v>1806</v>
      </c>
      <c r="M318" s="6" t="s">
        <v>3928</v>
      </c>
      <c r="N318" s="6" t="s">
        <v>1807</v>
      </c>
      <c r="O318" s="6" t="s">
        <v>1807</v>
      </c>
      <c r="P318" s="6" t="s">
        <v>1807</v>
      </c>
      <c r="Q318" s="6" t="s">
        <v>1808</v>
      </c>
      <c r="R318" s="6" t="s">
        <v>3026</v>
      </c>
    </row>
    <row r="319" spans="1:18">
      <c r="A319" s="6" t="s">
        <v>3027</v>
      </c>
      <c r="B319" s="6" t="s">
        <v>3028</v>
      </c>
      <c r="C319" s="6" t="s">
        <v>3029</v>
      </c>
      <c r="F319" s="6" t="s">
        <v>3029</v>
      </c>
      <c r="G319" s="6" t="s">
        <v>3029</v>
      </c>
      <c r="H319" s="6" t="s">
        <v>3029</v>
      </c>
      <c r="J319" s="6">
        <v>92</v>
      </c>
      <c r="K319" s="8">
        <v>239</v>
      </c>
      <c r="L319" s="6" t="s">
        <v>1806</v>
      </c>
      <c r="M319" s="6" t="s">
        <v>3928</v>
      </c>
      <c r="N319" s="6" t="s">
        <v>1807</v>
      </c>
      <c r="O319" s="6" t="s">
        <v>1807</v>
      </c>
      <c r="P319" s="6" t="s">
        <v>1807</v>
      </c>
      <c r="Q319" s="6" t="s">
        <v>1808</v>
      </c>
      <c r="R319" s="6" t="s">
        <v>3030</v>
      </c>
    </row>
    <row r="320" spans="1:18">
      <c r="A320" s="6" t="s">
        <v>3031</v>
      </c>
      <c r="B320" s="6" t="s">
        <v>3032</v>
      </c>
      <c r="C320" s="6" t="s">
        <v>3033</v>
      </c>
      <c r="F320" s="6" t="s">
        <v>3033</v>
      </c>
      <c r="G320" s="6" t="s">
        <v>4343</v>
      </c>
      <c r="H320" s="6" t="s">
        <v>3033</v>
      </c>
      <c r="K320" s="8">
        <v>240</v>
      </c>
      <c r="L320" s="6" t="s">
        <v>1806</v>
      </c>
      <c r="M320" s="6" t="s">
        <v>3928</v>
      </c>
      <c r="N320" s="6" t="s">
        <v>1807</v>
      </c>
      <c r="O320" s="6" t="s">
        <v>2729</v>
      </c>
      <c r="P320" s="6" t="s">
        <v>2729</v>
      </c>
      <c r="Q320" s="6" t="s">
        <v>1808</v>
      </c>
      <c r="R320" s="6" t="s">
        <v>3034</v>
      </c>
    </row>
    <row r="321" spans="1:18">
      <c r="A321" s="6" t="s">
        <v>3035</v>
      </c>
      <c r="B321" s="6" t="s">
        <v>3036</v>
      </c>
      <c r="C321" s="6" t="s">
        <v>3037</v>
      </c>
      <c r="E321" s="6" t="s">
        <v>3037</v>
      </c>
      <c r="F321" s="6" t="s">
        <v>3037</v>
      </c>
      <c r="G321" s="6" t="s">
        <v>4342</v>
      </c>
      <c r="H321" s="6" t="s">
        <v>3037</v>
      </c>
      <c r="I321" s="6" t="s">
        <v>3038</v>
      </c>
      <c r="J321" s="6">
        <v>704</v>
      </c>
      <c r="K321" s="8">
        <v>237</v>
      </c>
      <c r="L321" s="6" t="s">
        <v>1806</v>
      </c>
      <c r="M321" s="6" t="s">
        <v>3928</v>
      </c>
      <c r="N321" s="6" t="s">
        <v>1807</v>
      </c>
      <c r="O321" s="6" t="s">
        <v>1807</v>
      </c>
      <c r="P321" s="6" t="s">
        <v>1807</v>
      </c>
      <c r="Q321" s="6" t="s">
        <v>1808</v>
      </c>
      <c r="R321" s="6" t="s">
        <v>3039</v>
      </c>
    </row>
    <row r="322" spans="1:18">
      <c r="A322" s="6" t="s">
        <v>3040</v>
      </c>
      <c r="B322" s="6" t="s">
        <v>3041</v>
      </c>
      <c r="C322" s="6" t="s">
        <v>3042</v>
      </c>
      <c r="F322" s="6" t="s">
        <v>3042</v>
      </c>
      <c r="G322" s="6" t="s">
        <v>3042</v>
      </c>
      <c r="H322" s="6" t="s">
        <v>3042</v>
      </c>
      <c r="I322" s="6" t="s">
        <v>3043</v>
      </c>
      <c r="J322" s="6">
        <v>548</v>
      </c>
      <c r="K322" s="8">
        <v>155</v>
      </c>
      <c r="L322" s="6" t="s">
        <v>1806</v>
      </c>
      <c r="M322" s="6" t="s">
        <v>3928</v>
      </c>
      <c r="N322" s="6" t="s">
        <v>1807</v>
      </c>
      <c r="O322" s="6" t="s">
        <v>1807</v>
      </c>
      <c r="P322" s="6" t="s">
        <v>1807</v>
      </c>
      <c r="Q322" s="6" t="s">
        <v>1808</v>
      </c>
      <c r="R322" s="6" t="s">
        <v>3044</v>
      </c>
    </row>
    <row r="323" spans="1:18">
      <c r="A323" s="6" t="s">
        <v>3045</v>
      </c>
      <c r="C323" s="6" t="s">
        <v>3046</v>
      </c>
      <c r="F323" s="6" t="s">
        <v>3046</v>
      </c>
      <c r="G323" s="6" t="s">
        <v>3046</v>
      </c>
      <c r="H323" s="6" t="s">
        <v>3046</v>
      </c>
      <c r="K323" s="8" t="s">
        <v>557</v>
      </c>
      <c r="L323" s="6" t="s">
        <v>3045</v>
      </c>
      <c r="M323" s="6" t="s">
        <v>3045</v>
      </c>
      <c r="N323" s="6" t="s">
        <v>3045</v>
      </c>
      <c r="O323" s="6" t="s">
        <v>3045</v>
      </c>
      <c r="P323" s="6" t="s">
        <v>3045</v>
      </c>
    </row>
    <row r="324" spans="1:18">
      <c r="A324" s="6" t="s">
        <v>3047</v>
      </c>
      <c r="C324" s="6" t="s">
        <v>3048</v>
      </c>
      <c r="F324" s="6" t="s">
        <v>3048</v>
      </c>
      <c r="G324" s="6" t="s">
        <v>3048</v>
      </c>
      <c r="H324" s="6" t="s">
        <v>3048</v>
      </c>
      <c r="K324" s="8" t="s">
        <v>557</v>
      </c>
      <c r="L324" s="6" t="s">
        <v>1806</v>
      </c>
      <c r="M324" s="6" t="s">
        <v>3928</v>
      </c>
      <c r="N324" s="6" t="s">
        <v>1807</v>
      </c>
      <c r="O324" s="6" t="s">
        <v>1807</v>
      </c>
      <c r="P324" s="6" t="s">
        <v>1807</v>
      </c>
      <c r="Q324" s="6" t="s">
        <v>1808</v>
      </c>
    </row>
    <row r="325" spans="1:18">
      <c r="A325" s="6" t="s">
        <v>3049</v>
      </c>
      <c r="C325" s="6" t="s">
        <v>3050</v>
      </c>
      <c r="F325" s="6" t="s">
        <v>3050</v>
      </c>
      <c r="G325" s="6" t="s">
        <v>3050</v>
      </c>
      <c r="H325" s="6" t="s">
        <v>3050</v>
      </c>
      <c r="K325" s="8" t="s">
        <v>557</v>
      </c>
      <c r="L325" s="6" t="s">
        <v>1806</v>
      </c>
      <c r="M325" s="6" t="s">
        <v>3928</v>
      </c>
      <c r="N325" s="6" t="s">
        <v>1807</v>
      </c>
      <c r="O325" s="6" t="s">
        <v>1807</v>
      </c>
      <c r="P325" s="6" t="s">
        <v>1807</v>
      </c>
      <c r="Q325" s="6" t="s">
        <v>1808</v>
      </c>
    </row>
    <row r="326" spans="1:18">
      <c r="A326" s="6" t="s">
        <v>3051</v>
      </c>
      <c r="B326" s="6" t="s">
        <v>3052</v>
      </c>
      <c r="C326" s="6" t="s">
        <v>3053</v>
      </c>
      <c r="F326" s="6" t="s">
        <v>3053</v>
      </c>
      <c r="G326" s="6" t="s">
        <v>3053</v>
      </c>
      <c r="H326" s="6" t="s">
        <v>3053</v>
      </c>
      <c r="J326" s="6">
        <v>876</v>
      </c>
      <c r="K326" s="8">
        <v>243</v>
      </c>
      <c r="L326" s="6" t="s">
        <v>1806</v>
      </c>
      <c r="M326" s="6" t="s">
        <v>3928</v>
      </c>
      <c r="N326" s="6" t="s">
        <v>1807</v>
      </c>
      <c r="O326" s="6" t="s">
        <v>1807</v>
      </c>
      <c r="P326" s="6" t="s">
        <v>1807</v>
      </c>
      <c r="Q326" s="6" t="s">
        <v>1808</v>
      </c>
      <c r="R326" s="6" t="s">
        <v>3054</v>
      </c>
    </row>
    <row r="327" spans="1:18">
      <c r="A327" s="6" t="s">
        <v>3055</v>
      </c>
      <c r="C327" s="6" t="s">
        <v>3056</v>
      </c>
      <c r="F327" s="6" t="s">
        <v>3056</v>
      </c>
      <c r="G327" s="6" t="s">
        <v>3056</v>
      </c>
      <c r="H327" s="6" t="s">
        <v>3056</v>
      </c>
      <c r="K327" s="8" t="s">
        <v>557</v>
      </c>
      <c r="L327" s="6" t="s">
        <v>1806</v>
      </c>
      <c r="M327" s="6" t="s">
        <v>3928</v>
      </c>
      <c r="N327" s="6" t="s">
        <v>1807</v>
      </c>
      <c r="O327" s="6" t="s">
        <v>1807</v>
      </c>
      <c r="P327" s="6" t="s">
        <v>1807</v>
      </c>
      <c r="Q327" s="6" t="s">
        <v>1808</v>
      </c>
    </row>
    <row r="328" spans="1:18">
      <c r="A328" s="6" t="s">
        <v>3057</v>
      </c>
      <c r="C328" s="6" t="s">
        <v>3058</v>
      </c>
      <c r="F328" s="6" t="s">
        <v>3058</v>
      </c>
      <c r="G328" s="6" t="s">
        <v>3058</v>
      </c>
      <c r="H328" s="6" t="s">
        <v>3058</v>
      </c>
      <c r="K328" s="8" t="s">
        <v>557</v>
      </c>
      <c r="L328" s="6" t="s">
        <v>1806</v>
      </c>
      <c r="M328" s="6" t="s">
        <v>3928</v>
      </c>
      <c r="N328" s="6" t="s">
        <v>1807</v>
      </c>
      <c r="O328" s="6" t="s">
        <v>1807</v>
      </c>
      <c r="P328" s="6" t="s">
        <v>1807</v>
      </c>
      <c r="Q328" s="6" t="s">
        <v>1808</v>
      </c>
    </row>
    <row r="329" spans="1:18">
      <c r="A329" s="6" t="s">
        <v>3059</v>
      </c>
      <c r="B329" s="6" t="s">
        <v>3060</v>
      </c>
      <c r="C329" s="6" t="s">
        <v>3061</v>
      </c>
      <c r="F329" s="6" t="s">
        <v>3061</v>
      </c>
      <c r="G329" s="6" t="s">
        <v>3061</v>
      </c>
      <c r="H329" s="6" t="s">
        <v>3061</v>
      </c>
      <c r="I329" s="6" t="s">
        <v>3062</v>
      </c>
      <c r="J329" s="6">
        <v>882</v>
      </c>
      <c r="K329" s="8">
        <v>244</v>
      </c>
      <c r="L329" s="6" t="s">
        <v>1806</v>
      </c>
      <c r="M329" s="6" t="s">
        <v>3928</v>
      </c>
      <c r="N329" s="6" t="s">
        <v>1807</v>
      </c>
      <c r="O329" s="6" t="s">
        <v>1807</v>
      </c>
      <c r="P329" s="6" t="s">
        <v>1807</v>
      </c>
      <c r="Q329" s="6" t="s">
        <v>1808</v>
      </c>
      <c r="R329" s="6" t="s">
        <v>3063</v>
      </c>
    </row>
    <row r="330" spans="1:18">
      <c r="A330" s="6" t="s">
        <v>1807</v>
      </c>
      <c r="C330" s="6" t="s">
        <v>1806</v>
      </c>
      <c r="F330" s="6" t="s">
        <v>1806</v>
      </c>
      <c r="G330" s="6" t="s">
        <v>1806</v>
      </c>
      <c r="H330" s="6" t="s">
        <v>1806</v>
      </c>
      <c r="K330" s="8" t="s">
        <v>557</v>
      </c>
      <c r="L330" s="6" t="s">
        <v>1806</v>
      </c>
      <c r="M330" s="6" t="s">
        <v>3928</v>
      </c>
      <c r="N330" s="6" t="s">
        <v>1807</v>
      </c>
      <c r="O330" s="6" t="s">
        <v>1807</v>
      </c>
      <c r="P330" s="6" t="s">
        <v>1807</v>
      </c>
      <c r="Q330" s="6" t="s">
        <v>1808</v>
      </c>
    </row>
    <row r="331" spans="1:18">
      <c r="A331" s="6" t="s">
        <v>3064</v>
      </c>
      <c r="B331" s="6" t="s">
        <v>3065</v>
      </c>
      <c r="C331" s="6" t="s">
        <v>3066</v>
      </c>
      <c r="F331" s="6" t="s">
        <v>3066</v>
      </c>
      <c r="G331" s="6" t="s">
        <v>3066</v>
      </c>
      <c r="H331" s="6" t="s">
        <v>3066</v>
      </c>
      <c r="J331" s="6">
        <v>490</v>
      </c>
      <c r="K331" s="8" t="s">
        <v>557</v>
      </c>
      <c r="L331" s="6" t="s">
        <v>1806</v>
      </c>
      <c r="M331" s="6" t="s">
        <v>3928</v>
      </c>
      <c r="N331" s="6" t="s">
        <v>1807</v>
      </c>
      <c r="O331" s="6" t="s">
        <v>1807</v>
      </c>
      <c r="P331" s="6" t="s">
        <v>1807</v>
      </c>
      <c r="Q331" s="6" t="s">
        <v>1808</v>
      </c>
      <c r="R331" s="6" t="s">
        <v>3066</v>
      </c>
    </row>
    <row r="332" spans="1:18">
      <c r="A332" s="6" t="s">
        <v>3067</v>
      </c>
      <c r="B332" s="6" t="s">
        <v>3068</v>
      </c>
      <c r="C332" s="6" t="s">
        <v>3069</v>
      </c>
      <c r="F332" s="6" t="s">
        <v>3069</v>
      </c>
      <c r="G332" s="6" t="s">
        <v>3069</v>
      </c>
      <c r="H332" s="6" t="s">
        <v>3069</v>
      </c>
      <c r="K332" s="8" t="s">
        <v>557</v>
      </c>
      <c r="L332" s="6" t="s">
        <v>1806</v>
      </c>
      <c r="M332" s="6" t="s">
        <v>3928</v>
      </c>
      <c r="N332" s="6" t="s">
        <v>1807</v>
      </c>
      <c r="O332" s="6" t="s">
        <v>1807</v>
      </c>
      <c r="P332" s="6" t="s">
        <v>1807</v>
      </c>
      <c r="Q332" s="6" t="s">
        <v>1808</v>
      </c>
      <c r="R332" s="6" t="s">
        <v>3069</v>
      </c>
    </row>
    <row r="333" spans="1:18">
      <c r="A333" s="6" t="s">
        <v>3070</v>
      </c>
      <c r="C333" s="6" t="s">
        <v>3071</v>
      </c>
      <c r="F333" s="6" t="s">
        <v>3071</v>
      </c>
      <c r="G333" s="6" t="s">
        <v>3071</v>
      </c>
      <c r="H333" s="6" t="s">
        <v>3071</v>
      </c>
      <c r="K333" s="8" t="s">
        <v>557</v>
      </c>
      <c r="L333" s="6" t="s">
        <v>1806</v>
      </c>
      <c r="M333" s="6" t="s">
        <v>3928</v>
      </c>
      <c r="N333" s="6" t="s">
        <v>1807</v>
      </c>
      <c r="O333" s="6" t="s">
        <v>1807</v>
      </c>
      <c r="P333" s="6" t="s">
        <v>1807</v>
      </c>
      <c r="Q333" s="6" t="s">
        <v>1808</v>
      </c>
    </row>
    <row r="334" spans="1:18">
      <c r="A334" s="6" t="s">
        <v>3072</v>
      </c>
      <c r="B334" s="6" t="s">
        <v>3073</v>
      </c>
      <c r="C334" s="6" t="s">
        <v>3074</v>
      </c>
      <c r="F334" s="6" t="s">
        <v>3074</v>
      </c>
      <c r="G334" s="6" t="s">
        <v>3074</v>
      </c>
      <c r="H334" s="6" t="s">
        <v>3074</v>
      </c>
      <c r="K334" s="8" t="s">
        <v>557</v>
      </c>
      <c r="L334" s="6" t="s">
        <v>1806</v>
      </c>
      <c r="M334" s="6" t="s">
        <v>3928</v>
      </c>
      <c r="N334" s="6" t="s">
        <v>1807</v>
      </c>
      <c r="O334" s="6" t="s">
        <v>1807</v>
      </c>
      <c r="P334" s="6" t="s">
        <v>1807</v>
      </c>
      <c r="Q334" s="6" t="s">
        <v>1808</v>
      </c>
      <c r="R334" s="6" t="s">
        <v>3074</v>
      </c>
    </row>
    <row r="335" spans="1:18">
      <c r="A335" s="6" t="s">
        <v>3075</v>
      </c>
      <c r="B335" s="6" t="s">
        <v>3076</v>
      </c>
      <c r="C335" s="6" t="s">
        <v>3077</v>
      </c>
      <c r="F335" s="6" t="s">
        <v>3077</v>
      </c>
      <c r="G335" s="6" t="s">
        <v>3077</v>
      </c>
      <c r="H335" s="6" t="s">
        <v>3077</v>
      </c>
      <c r="K335" s="8" t="s">
        <v>557</v>
      </c>
      <c r="L335" s="6" t="s">
        <v>1806</v>
      </c>
      <c r="M335" s="6" t="s">
        <v>3928</v>
      </c>
      <c r="N335" s="6" t="s">
        <v>1807</v>
      </c>
      <c r="O335" s="6" t="s">
        <v>1807</v>
      </c>
      <c r="P335" s="6" t="s">
        <v>1807</v>
      </c>
      <c r="Q335" s="6" t="s">
        <v>1808</v>
      </c>
      <c r="R335" s="6" t="s">
        <v>3077</v>
      </c>
    </row>
    <row r="336" spans="1:18">
      <c r="A336" s="6" t="s">
        <v>3078</v>
      </c>
      <c r="B336" s="6" t="s">
        <v>3079</v>
      </c>
      <c r="C336" s="6" t="s">
        <v>3080</v>
      </c>
      <c r="F336" s="6" t="s">
        <v>3080</v>
      </c>
      <c r="G336" s="6" t="s">
        <v>3080</v>
      </c>
      <c r="H336" s="6" t="s">
        <v>3080</v>
      </c>
      <c r="K336" s="8" t="s">
        <v>557</v>
      </c>
      <c r="L336" s="6" t="s">
        <v>1806</v>
      </c>
      <c r="M336" s="6" t="s">
        <v>3928</v>
      </c>
      <c r="N336" s="6" t="s">
        <v>1807</v>
      </c>
      <c r="O336" s="6" t="s">
        <v>1807</v>
      </c>
      <c r="P336" s="6" t="s">
        <v>1807</v>
      </c>
      <c r="Q336" s="6" t="s">
        <v>1808</v>
      </c>
      <c r="R336" s="6" t="s">
        <v>3080</v>
      </c>
    </row>
    <row r="337" spans="1:18">
      <c r="A337" s="6" t="s">
        <v>3081</v>
      </c>
      <c r="B337" s="6" t="s">
        <v>3082</v>
      </c>
      <c r="C337" s="6" t="s">
        <v>3083</v>
      </c>
      <c r="F337" s="6" t="s">
        <v>3083</v>
      </c>
      <c r="G337" s="6" t="s">
        <v>3083</v>
      </c>
      <c r="H337" s="6" t="s">
        <v>3083</v>
      </c>
      <c r="J337" s="6">
        <v>697</v>
      </c>
      <c r="K337" s="8" t="s">
        <v>557</v>
      </c>
      <c r="L337" s="6" t="s">
        <v>1806</v>
      </c>
      <c r="M337" s="6" t="s">
        <v>3928</v>
      </c>
      <c r="N337" s="6" t="s">
        <v>1807</v>
      </c>
      <c r="O337" s="6" t="s">
        <v>1807</v>
      </c>
      <c r="P337" s="6" t="s">
        <v>1807</v>
      </c>
      <c r="Q337" s="6" t="s">
        <v>1808</v>
      </c>
      <c r="R337" s="6" t="s">
        <v>3083</v>
      </c>
    </row>
    <row r="338" spans="1:18">
      <c r="A338" s="6" t="s">
        <v>3084</v>
      </c>
      <c r="B338" s="6" t="s">
        <v>3085</v>
      </c>
      <c r="C338" s="6" t="s">
        <v>3086</v>
      </c>
      <c r="F338" s="6" t="s">
        <v>3086</v>
      </c>
      <c r="G338" s="6" t="s">
        <v>3086</v>
      </c>
      <c r="H338" s="6" t="s">
        <v>3086</v>
      </c>
      <c r="K338" s="8" t="s">
        <v>557</v>
      </c>
      <c r="L338" s="6" t="s">
        <v>1806</v>
      </c>
      <c r="M338" s="6" t="s">
        <v>3928</v>
      </c>
      <c r="N338" s="6" t="s">
        <v>1807</v>
      </c>
      <c r="O338" s="6" t="s">
        <v>1807</v>
      </c>
      <c r="P338" s="6" t="s">
        <v>1807</v>
      </c>
      <c r="Q338" s="6" t="s">
        <v>1808</v>
      </c>
      <c r="R338" s="6" t="s">
        <v>3086</v>
      </c>
    </row>
    <row r="339" spans="1:18">
      <c r="A339" s="6" t="s">
        <v>3087</v>
      </c>
      <c r="B339" s="6" t="s">
        <v>3088</v>
      </c>
      <c r="C339" s="6" t="s">
        <v>3089</v>
      </c>
      <c r="E339" s="6" t="s">
        <v>3089</v>
      </c>
      <c r="F339" s="6" t="s">
        <v>3089</v>
      </c>
      <c r="G339" s="6" t="s">
        <v>3089</v>
      </c>
      <c r="H339" s="6" t="s">
        <v>3089</v>
      </c>
      <c r="I339" s="6" t="s">
        <v>3090</v>
      </c>
      <c r="K339" s="8" t="s">
        <v>557</v>
      </c>
      <c r="L339" s="6" t="s">
        <v>1806</v>
      </c>
      <c r="M339" s="6" t="s">
        <v>3928</v>
      </c>
      <c r="N339" s="6" t="s">
        <v>1807</v>
      </c>
      <c r="O339" s="6" t="s">
        <v>1807</v>
      </c>
      <c r="P339" s="6" t="s">
        <v>1807</v>
      </c>
      <c r="Q339" s="6" t="s">
        <v>1808</v>
      </c>
    </row>
    <row r="340" spans="1:18">
      <c r="A340" s="6" t="s">
        <v>3091</v>
      </c>
      <c r="C340" s="6" t="s">
        <v>3092</v>
      </c>
      <c r="F340" s="6" t="s">
        <v>3092</v>
      </c>
      <c r="G340" s="6" t="s">
        <v>3092</v>
      </c>
      <c r="H340" s="6" t="s">
        <v>3092</v>
      </c>
      <c r="K340" s="8" t="s">
        <v>557</v>
      </c>
      <c r="L340" s="6" t="s">
        <v>1806</v>
      </c>
      <c r="M340" s="6" t="s">
        <v>3928</v>
      </c>
      <c r="N340" s="6" t="s">
        <v>1807</v>
      </c>
      <c r="O340" s="6" t="s">
        <v>1807</v>
      </c>
      <c r="P340" s="6" t="s">
        <v>1807</v>
      </c>
      <c r="Q340" s="6" t="s">
        <v>1808</v>
      </c>
    </row>
    <row r="341" spans="1:18">
      <c r="A341" s="6" t="s">
        <v>3093</v>
      </c>
      <c r="B341" s="6" t="s">
        <v>3094</v>
      </c>
      <c r="C341" s="6" t="s">
        <v>3095</v>
      </c>
      <c r="F341" s="6" t="s">
        <v>3095</v>
      </c>
      <c r="G341" s="6" t="s">
        <v>3095</v>
      </c>
      <c r="H341" s="6" t="s">
        <v>3095</v>
      </c>
      <c r="K341" s="8" t="s">
        <v>557</v>
      </c>
      <c r="L341" s="6" t="s">
        <v>1806</v>
      </c>
      <c r="M341" s="6" t="s">
        <v>3928</v>
      </c>
      <c r="N341" s="6" t="s">
        <v>1807</v>
      </c>
      <c r="O341" s="6" t="s">
        <v>1807</v>
      </c>
      <c r="P341" s="6" t="s">
        <v>1807</v>
      </c>
      <c r="Q341" s="6" t="s">
        <v>1808</v>
      </c>
    </row>
    <row r="342" spans="1:18">
      <c r="A342" s="6" t="s">
        <v>3096</v>
      </c>
      <c r="C342" s="6" t="s">
        <v>2787</v>
      </c>
      <c r="F342" s="6" t="s">
        <v>2787</v>
      </c>
      <c r="G342" s="6" t="s">
        <v>2787</v>
      </c>
      <c r="H342" s="6" t="s">
        <v>2787</v>
      </c>
      <c r="K342" s="8">
        <v>272</v>
      </c>
      <c r="L342" s="6" t="s">
        <v>1806</v>
      </c>
      <c r="M342" s="6" t="s">
        <v>3928</v>
      </c>
      <c r="N342" s="6" t="s">
        <v>1807</v>
      </c>
      <c r="O342" s="6" t="s">
        <v>1807</v>
      </c>
      <c r="P342" s="6" t="s">
        <v>1807</v>
      </c>
      <c r="Q342" s="6" t="s">
        <v>1808</v>
      </c>
    </row>
    <row r="343" spans="1:18">
      <c r="A343" s="6" t="s">
        <v>3097</v>
      </c>
      <c r="B343" s="6" t="s">
        <v>3098</v>
      </c>
      <c r="C343" s="6" t="s">
        <v>3099</v>
      </c>
      <c r="F343" s="6" t="s">
        <v>3099</v>
      </c>
      <c r="G343" s="6" t="s">
        <v>3099</v>
      </c>
      <c r="H343" s="6" t="s">
        <v>3099</v>
      </c>
      <c r="K343" s="8" t="s">
        <v>557</v>
      </c>
      <c r="L343" s="6" t="s">
        <v>1806</v>
      </c>
      <c r="M343" s="6" t="s">
        <v>3928</v>
      </c>
      <c r="N343" s="6" t="s">
        <v>1807</v>
      </c>
      <c r="O343" s="6" t="s">
        <v>1807</v>
      </c>
      <c r="P343" s="6" t="s">
        <v>1807</v>
      </c>
      <c r="Q343" s="6" t="s">
        <v>1808</v>
      </c>
    </row>
    <row r="344" spans="1:18">
      <c r="A344" s="6" t="s">
        <v>3100</v>
      </c>
      <c r="B344" s="6" t="s">
        <v>3101</v>
      </c>
      <c r="C344" s="6" t="s">
        <v>3102</v>
      </c>
      <c r="F344" s="6" t="s">
        <v>3102</v>
      </c>
      <c r="G344" s="6" t="s">
        <v>3102</v>
      </c>
      <c r="H344" s="6" t="s">
        <v>3102</v>
      </c>
      <c r="K344" s="8" t="s">
        <v>557</v>
      </c>
      <c r="L344" s="6" t="s">
        <v>1806</v>
      </c>
      <c r="M344" s="6" t="s">
        <v>3928</v>
      </c>
      <c r="N344" s="6" t="s">
        <v>1807</v>
      </c>
      <c r="O344" s="6" t="s">
        <v>1807</v>
      </c>
      <c r="P344" s="6" t="s">
        <v>1807</v>
      </c>
      <c r="Q344" s="6" t="s">
        <v>1808</v>
      </c>
    </row>
    <row r="345" spans="1:18">
      <c r="A345" s="6" t="s">
        <v>3103</v>
      </c>
      <c r="B345" s="6" t="s">
        <v>3103</v>
      </c>
      <c r="C345" s="6" t="s">
        <v>3104</v>
      </c>
      <c r="D345" s="10"/>
      <c r="E345" s="6" t="s">
        <v>3105</v>
      </c>
      <c r="F345" s="6" t="s">
        <v>3104</v>
      </c>
      <c r="G345" s="6" t="s">
        <v>3104</v>
      </c>
      <c r="H345" s="10"/>
      <c r="I345" s="10"/>
      <c r="J345" s="10"/>
      <c r="K345" s="10"/>
      <c r="L345" s="10"/>
      <c r="M345" s="10"/>
      <c r="N345" s="10"/>
      <c r="O345" s="6" t="s">
        <v>557</v>
      </c>
      <c r="P345" s="10"/>
      <c r="Q345" s="10"/>
      <c r="R345" s="10"/>
    </row>
    <row r="346" spans="1:18">
      <c r="A346" s="6" t="s">
        <v>3106</v>
      </c>
      <c r="B346" s="6" t="s">
        <v>3107</v>
      </c>
      <c r="C346" s="6" t="s">
        <v>3108</v>
      </c>
      <c r="E346" s="6" t="s">
        <v>3108</v>
      </c>
      <c r="F346" s="6" t="s">
        <v>3108</v>
      </c>
      <c r="G346" s="6" t="s">
        <v>4338</v>
      </c>
      <c r="H346" s="6" t="s">
        <v>3108</v>
      </c>
      <c r="I346" s="6" t="s">
        <v>3109</v>
      </c>
      <c r="J346" s="6">
        <v>887</v>
      </c>
      <c r="K346" s="8">
        <v>249</v>
      </c>
      <c r="L346" s="6" t="s">
        <v>1806</v>
      </c>
      <c r="M346" s="6" t="s">
        <v>3928</v>
      </c>
      <c r="N346" s="6" t="s">
        <v>1807</v>
      </c>
      <c r="O346" s="6" t="s">
        <v>1807</v>
      </c>
      <c r="P346" s="6" t="s">
        <v>1807</v>
      </c>
      <c r="Q346" s="6" t="s">
        <v>1808</v>
      </c>
      <c r="R346" s="6" t="s">
        <v>3110</v>
      </c>
    </row>
    <row r="347" spans="1:18">
      <c r="A347" s="6" t="s">
        <v>3111</v>
      </c>
      <c r="B347" s="6" t="s">
        <v>3111</v>
      </c>
      <c r="C347" s="6" t="s">
        <v>3112</v>
      </c>
      <c r="E347" s="6" t="s">
        <v>3113</v>
      </c>
      <c r="F347" s="6" t="s">
        <v>3112</v>
      </c>
      <c r="G347" s="6" t="s">
        <v>4339</v>
      </c>
      <c r="H347" s="6" t="s">
        <v>3112</v>
      </c>
      <c r="K347" s="8" t="s">
        <v>557</v>
      </c>
      <c r="L347" s="6" t="s">
        <v>557</v>
      </c>
      <c r="M347" s="6" t="s">
        <v>557</v>
      </c>
      <c r="N347" s="6" t="s">
        <v>557</v>
      </c>
      <c r="O347" s="6" t="s">
        <v>557</v>
      </c>
      <c r="P347" s="6" t="s">
        <v>557</v>
      </c>
      <c r="Q347" s="6" t="s">
        <v>557</v>
      </c>
    </row>
    <row r="348" spans="1:18">
      <c r="A348" s="6" t="s">
        <v>3114</v>
      </c>
      <c r="B348" s="6" t="s">
        <v>3115</v>
      </c>
      <c r="C348" s="6" t="s">
        <v>3116</v>
      </c>
      <c r="F348" s="6" t="s">
        <v>3116</v>
      </c>
      <c r="G348" s="6" t="s">
        <v>3116</v>
      </c>
      <c r="H348" s="6" t="s">
        <v>3116</v>
      </c>
      <c r="J348" s="6">
        <v>175</v>
      </c>
      <c r="K348" s="8">
        <v>270</v>
      </c>
      <c r="L348" s="6" t="s">
        <v>2203</v>
      </c>
      <c r="M348" s="6" t="s">
        <v>1873</v>
      </c>
      <c r="N348" s="6" t="s">
        <v>2203</v>
      </c>
      <c r="O348" s="6" t="s">
        <v>2203</v>
      </c>
      <c r="P348" s="6" t="s">
        <v>1873</v>
      </c>
      <c r="Q348" s="6" t="s">
        <v>1874</v>
      </c>
      <c r="R348" s="6" t="s">
        <v>3117</v>
      </c>
    </row>
    <row r="349" spans="1:18">
      <c r="A349" s="6" t="s">
        <v>3118</v>
      </c>
      <c r="B349" s="6" t="s">
        <v>3118</v>
      </c>
      <c r="C349" s="6" t="s">
        <v>3119</v>
      </c>
      <c r="E349" s="6" t="s">
        <v>3120</v>
      </c>
      <c r="F349" s="6" t="s">
        <v>3119</v>
      </c>
      <c r="G349" s="6" t="s">
        <v>4340</v>
      </c>
      <c r="H349" s="6" t="s">
        <v>3119</v>
      </c>
      <c r="K349" s="8">
        <v>248</v>
      </c>
      <c r="L349" s="6" t="s">
        <v>557</v>
      </c>
      <c r="M349" s="6" t="s">
        <v>557</v>
      </c>
      <c r="N349" s="6" t="s">
        <v>557</v>
      </c>
      <c r="O349" s="6" t="s">
        <v>557</v>
      </c>
      <c r="P349" s="6" t="s">
        <v>557</v>
      </c>
      <c r="Q349" s="6" t="s">
        <v>557</v>
      </c>
    </row>
    <row r="350" spans="1:18">
      <c r="A350" s="6" t="s">
        <v>3121</v>
      </c>
      <c r="B350" s="6" t="s">
        <v>3122</v>
      </c>
      <c r="C350" s="6" t="s">
        <v>3123</v>
      </c>
      <c r="E350" s="6" t="s">
        <v>3123</v>
      </c>
      <c r="F350" s="6" t="s">
        <v>3123</v>
      </c>
      <c r="G350" s="6" t="s">
        <v>3123</v>
      </c>
      <c r="H350" s="6" t="s">
        <v>3123</v>
      </c>
      <c r="I350" s="6" t="s">
        <v>3124</v>
      </c>
      <c r="J350" s="6">
        <v>710</v>
      </c>
      <c r="K350" s="8">
        <v>202</v>
      </c>
      <c r="L350" s="6" t="s">
        <v>1806</v>
      </c>
      <c r="M350" s="6" t="s">
        <v>3928</v>
      </c>
      <c r="N350" s="6" t="s">
        <v>1807</v>
      </c>
      <c r="O350" s="6" t="s">
        <v>3121</v>
      </c>
      <c r="P350" s="6" t="s">
        <v>3121</v>
      </c>
      <c r="Q350" s="6" t="s">
        <v>1808</v>
      </c>
      <c r="R350" s="6" t="s">
        <v>3125</v>
      </c>
    </row>
    <row r="351" spans="1:18">
      <c r="A351" s="6" t="s">
        <v>3126</v>
      </c>
      <c r="B351" s="6" t="s">
        <v>3127</v>
      </c>
      <c r="C351" s="6" t="s">
        <v>3128</v>
      </c>
      <c r="E351" s="6" t="s">
        <v>3128</v>
      </c>
      <c r="F351" s="6" t="s">
        <v>3128</v>
      </c>
      <c r="G351" s="6" t="s">
        <v>3128</v>
      </c>
      <c r="H351" s="6" t="s">
        <v>3128</v>
      </c>
      <c r="I351" s="6" t="s">
        <v>3129</v>
      </c>
      <c r="J351" s="6">
        <v>894</v>
      </c>
      <c r="K351" s="8">
        <v>251</v>
      </c>
      <c r="L351" s="6" t="s">
        <v>1806</v>
      </c>
      <c r="M351" s="6" t="s">
        <v>3928</v>
      </c>
      <c r="N351" s="6" t="s">
        <v>1807</v>
      </c>
      <c r="O351" s="6" t="s">
        <v>1807</v>
      </c>
      <c r="P351" s="6" t="s">
        <v>1807</v>
      </c>
      <c r="Q351" s="6" t="s">
        <v>1808</v>
      </c>
      <c r="R351" s="6" t="s">
        <v>3130</v>
      </c>
    </row>
    <row r="352" spans="1:18">
      <c r="A352" s="6" t="s">
        <v>3131</v>
      </c>
      <c r="B352" s="6" t="s">
        <v>3132</v>
      </c>
      <c r="C352" s="6" t="s">
        <v>3133</v>
      </c>
      <c r="D352" s="10"/>
      <c r="E352" s="6" t="s">
        <v>3134</v>
      </c>
      <c r="F352" s="6" t="s">
        <v>3133</v>
      </c>
      <c r="G352" s="6" t="s">
        <v>3133</v>
      </c>
      <c r="H352" s="10"/>
      <c r="I352" s="10"/>
      <c r="J352" s="10"/>
      <c r="K352" s="10"/>
      <c r="L352" s="10"/>
      <c r="M352" s="10"/>
      <c r="N352" s="10"/>
      <c r="O352" s="6" t="s">
        <v>557</v>
      </c>
      <c r="P352" s="10"/>
      <c r="Q352" s="10"/>
      <c r="R352" s="10"/>
    </row>
    <row r="353" spans="1:18">
      <c r="A353" s="6" t="s">
        <v>3135</v>
      </c>
      <c r="B353" s="6" t="s">
        <v>3136</v>
      </c>
      <c r="C353" s="6" t="s">
        <v>3137</v>
      </c>
      <c r="E353" s="6" t="s">
        <v>3137</v>
      </c>
      <c r="F353" s="6" t="s">
        <v>3137</v>
      </c>
      <c r="G353" s="6" t="s">
        <v>3137</v>
      </c>
      <c r="H353" s="6" t="s">
        <v>3137</v>
      </c>
      <c r="I353" s="6" t="s">
        <v>3138</v>
      </c>
      <c r="J353" s="6">
        <v>716</v>
      </c>
      <c r="K353" s="8">
        <v>181</v>
      </c>
      <c r="L353" s="6" t="s">
        <v>1806</v>
      </c>
      <c r="M353" s="6" t="s">
        <v>3928</v>
      </c>
      <c r="N353" s="6" t="s">
        <v>1807</v>
      </c>
      <c r="O353" s="6" t="s">
        <v>1807</v>
      </c>
      <c r="P353" s="6" t="s">
        <v>1807</v>
      </c>
      <c r="Q353" s="6" t="s">
        <v>1808</v>
      </c>
      <c r="R353" s="6" t="s">
        <v>3139</v>
      </c>
    </row>
  </sheetData>
  <autoFilter ref="A2:R304" xr:uid="{00000000-0009-0000-0000-00000C000000}">
    <sortState xmlns:xlrd2="http://schemas.microsoft.com/office/spreadsheetml/2017/richdata2" ref="A3:R353">
      <sortCondition ref="A2:A304"/>
    </sortState>
  </autoFilter>
  <conditionalFormatting sqref="A1:A2 A5:A312 A347:A1048576">
    <cfRule type="duplicateValues" dxfId="14" priority="7"/>
  </conditionalFormatting>
  <conditionalFormatting sqref="A2 A5:A304 A347:A1048576">
    <cfRule type="duplicateValues" dxfId="13" priority="13"/>
  </conditionalFormatting>
  <conditionalFormatting sqref="A5:A55 A57:A273">
    <cfRule type="duplicateValues" dxfId="12" priority="15"/>
  </conditionalFormatting>
  <conditionalFormatting sqref="A305:A312">
    <cfRule type="duplicateValues" dxfId="11" priority="12"/>
  </conditionalFormatting>
  <conditionalFormatting sqref="A4:B4">
    <cfRule type="duplicateValues" dxfId="10" priority="5"/>
    <cfRule type="duplicateValues" dxfId="9" priority="6"/>
  </conditionalFormatting>
  <conditionalFormatting sqref="B3">
    <cfRule type="duplicateValues" dxfId="8" priority="4"/>
  </conditionalFormatting>
  <conditionalFormatting sqref="B5:B55 B57:B273">
    <cfRule type="duplicateValues" dxfId="7" priority="16"/>
  </conditionalFormatting>
  <conditionalFormatting sqref="B347:B1048576 B5:B312 B2:B3">
    <cfRule type="duplicateValues" dxfId="6" priority="14"/>
  </conditionalFormatting>
  <conditionalFormatting sqref="I347:I1048576 I1:I190 I192:I310 I312">
    <cfRule type="duplicateValues" dxfId="5" priority="8"/>
  </conditionalFormatting>
  <conditionalFormatting sqref="N297:N298">
    <cfRule type="duplicateValues" dxfId="4" priority="11"/>
  </conditionalFormatting>
  <conditionalFormatting sqref="N347:N353">
    <cfRule type="duplicateValues" dxfId="3" priority="2"/>
    <cfRule type="duplicateValues" dxfId="2" priority="3"/>
  </conditionalFormatting>
  <conditionalFormatting sqref="O297:O298">
    <cfRule type="duplicateValues" dxfId="1" priority="10"/>
  </conditionalFormatting>
  <conditionalFormatting sqref="P298">
    <cfRule type="duplicateValues" dxfId="0" priority="9"/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0"/>
  <sheetViews>
    <sheetView zoomScaleNormal="100" workbookViewId="0">
      <pane ySplit="2" topLeftCell="A3" activePane="bottomLeft" state="frozen"/>
      <selection pane="bottomLeft" activeCell="C10" sqref="C10"/>
    </sheetView>
  </sheetViews>
  <sheetFormatPr defaultColWidth="10.6640625" defaultRowHeight="13.8"/>
  <cols>
    <col min="1" max="1" width="25.33203125" customWidth="1"/>
    <col min="2" max="3" width="11.88671875" customWidth="1"/>
    <col min="4" max="4" width="10.6640625" customWidth="1"/>
    <col min="5" max="5" width="19.88671875" customWidth="1"/>
    <col min="7" max="7" width="9.33203125" customWidth="1"/>
  </cols>
  <sheetData>
    <row r="2" spans="1:11" ht="14.4">
      <c r="A2" s="16" t="s">
        <v>652</v>
      </c>
      <c r="B2" s="17" t="s">
        <v>653</v>
      </c>
      <c r="C2" s="17" t="s">
        <v>2</v>
      </c>
      <c r="D2" s="15" t="s">
        <v>655</v>
      </c>
      <c r="E2" s="17" t="s">
        <v>3929</v>
      </c>
      <c r="F2" s="17" t="s">
        <v>3930</v>
      </c>
      <c r="G2" s="15" t="s">
        <v>1652</v>
      </c>
      <c r="H2" s="15" t="s">
        <v>656</v>
      </c>
      <c r="I2" s="15" t="s">
        <v>657</v>
      </c>
    </row>
    <row r="3" spans="1:11">
      <c r="A3" t="s">
        <v>658</v>
      </c>
      <c r="B3" t="s">
        <v>557</v>
      </c>
      <c r="C3" t="s">
        <v>557</v>
      </c>
      <c r="D3" t="s">
        <v>557</v>
      </c>
      <c r="E3" t="s">
        <v>659</v>
      </c>
      <c r="F3" t="str">
        <f>VLOOKUP([1]ieap!B3,[1]rmh!A$4:B$197,2,FALSE)</f>
        <v>:</v>
      </c>
      <c r="H3" t="s">
        <v>660</v>
      </c>
      <c r="I3" t="s">
        <v>661</v>
      </c>
    </row>
    <row r="4" spans="1:11">
      <c r="A4" t="s">
        <v>699</v>
      </c>
      <c r="B4" t="s">
        <v>69</v>
      </c>
      <c r="C4" t="s">
        <v>69</v>
      </c>
      <c r="D4" t="s">
        <v>557</v>
      </c>
      <c r="E4" t="s">
        <v>700</v>
      </c>
      <c r="F4" t="str">
        <f>VLOOKUP([1]ieap!B4,[1]rmh!A$4:B$197,2,FALSE)</f>
        <v>Hard coal</v>
      </c>
      <c r="H4" t="s">
        <v>701</v>
      </c>
      <c r="I4" t="s">
        <v>70</v>
      </c>
    </row>
    <row r="5" spans="1:11">
      <c r="A5" t="s">
        <v>702</v>
      </c>
      <c r="B5" t="s">
        <v>69</v>
      </c>
      <c r="C5" t="s">
        <v>69</v>
      </c>
      <c r="D5" t="s">
        <v>1657</v>
      </c>
      <c r="E5" t="s">
        <v>703</v>
      </c>
      <c r="F5" t="str">
        <f>VLOOKUP([1]ieap!B5,[1]rmh!A$4:B$197,2,FALSE)</f>
        <v>Hard coal</v>
      </c>
      <c r="H5" t="s">
        <v>704</v>
      </c>
      <c r="I5" t="s">
        <v>703</v>
      </c>
    </row>
    <row r="6" spans="1:11">
      <c r="A6" t="s">
        <v>705</v>
      </c>
      <c r="B6" t="s">
        <v>69</v>
      </c>
      <c r="C6" t="s">
        <v>69</v>
      </c>
      <c r="D6" t="s">
        <v>1657</v>
      </c>
      <c r="E6" t="s">
        <v>706</v>
      </c>
      <c r="F6" t="str">
        <f>VLOOKUP([1]ieap!B6,[1]rmh!A$4:B$197,2,FALSE)</f>
        <v>Hard coal</v>
      </c>
      <c r="H6" t="s">
        <v>707</v>
      </c>
      <c r="I6" t="s">
        <v>706</v>
      </c>
    </row>
    <row r="7" spans="1:11">
      <c r="A7" t="s">
        <v>708</v>
      </c>
      <c r="B7" t="s">
        <v>69</v>
      </c>
      <c r="C7" t="s">
        <v>69</v>
      </c>
      <c r="D7" t="s">
        <v>1657</v>
      </c>
      <c r="E7" t="s">
        <v>709</v>
      </c>
      <c r="F7" t="str">
        <f>VLOOKUP([1]ieap!B7,[1]rmh!A$4:B$197,2,FALSE)</f>
        <v>Hard coal</v>
      </c>
      <c r="H7" t="s">
        <v>710</v>
      </c>
      <c r="I7" t="s">
        <v>709</v>
      </c>
    </row>
    <row r="8" spans="1:11">
      <c r="A8" t="s">
        <v>711</v>
      </c>
      <c r="B8" t="s">
        <v>72</v>
      </c>
      <c r="C8" t="s">
        <v>72</v>
      </c>
      <c r="D8" t="s">
        <v>557</v>
      </c>
      <c r="E8" t="s">
        <v>712</v>
      </c>
      <c r="F8" t="str">
        <f>VLOOKUP([1]ieap!B8,[1]rmh!A$4:B$197,2,FALSE)</f>
        <v>Lignite</v>
      </c>
      <c r="H8" t="s">
        <v>713</v>
      </c>
      <c r="I8" t="s">
        <v>714</v>
      </c>
    </row>
    <row r="9" spans="1:11">
      <c r="A9" t="s">
        <v>715</v>
      </c>
      <c r="B9" t="s">
        <v>72</v>
      </c>
      <c r="C9" s="25" t="s">
        <v>72</v>
      </c>
      <c r="D9" s="26" t="s">
        <v>1656</v>
      </c>
      <c r="E9" t="s">
        <v>716</v>
      </c>
      <c r="F9" t="str">
        <f>VLOOKUP([1]ieap!B9,[1]rmh!A$4:B$197,2,FALSE)</f>
        <v>Lignite</v>
      </c>
      <c r="H9" t="s">
        <v>717</v>
      </c>
      <c r="I9" t="s">
        <v>716</v>
      </c>
      <c r="K9" t="s">
        <v>4368</v>
      </c>
    </row>
    <row r="10" spans="1:11">
      <c r="A10" t="s">
        <v>718</v>
      </c>
      <c r="B10" t="s">
        <v>72</v>
      </c>
      <c r="C10" t="s">
        <v>72</v>
      </c>
      <c r="D10" s="26" t="s">
        <v>1656</v>
      </c>
      <c r="E10" t="s">
        <v>73</v>
      </c>
      <c r="F10" t="str">
        <f>VLOOKUP([1]ieap!B10,[1]rmh!A$4:B$197,2,FALSE)</f>
        <v>Lignite</v>
      </c>
      <c r="H10" t="s">
        <v>719</v>
      </c>
      <c r="I10" t="s">
        <v>73</v>
      </c>
    </row>
    <row r="11" spans="1:11">
      <c r="A11" t="s">
        <v>732</v>
      </c>
      <c r="B11" t="s">
        <v>224</v>
      </c>
      <c r="C11" t="s">
        <v>224</v>
      </c>
      <c r="D11" s="26" t="s">
        <v>1657</v>
      </c>
      <c r="E11" t="s">
        <v>733</v>
      </c>
      <c r="F11" t="str">
        <f>VLOOKUP([1]ieap!B11,[1]rmh!A$4:B$197,2,FALSE)</f>
        <v>Coke oven products</v>
      </c>
      <c r="H11" t="s">
        <v>734</v>
      </c>
      <c r="I11" t="s">
        <v>735</v>
      </c>
    </row>
    <row r="12" spans="1:11">
      <c r="A12" t="s">
        <v>736</v>
      </c>
      <c r="B12" t="s">
        <v>224</v>
      </c>
      <c r="C12" t="s">
        <v>224</v>
      </c>
      <c r="D12" s="26" t="s">
        <v>1657</v>
      </c>
      <c r="E12" t="s">
        <v>737</v>
      </c>
      <c r="F12" t="str">
        <f>VLOOKUP([1]ieap!B12,[1]rmh!A$4:B$197,2,FALSE)</f>
        <v>Coke oven products</v>
      </c>
      <c r="H12" t="s">
        <v>738</v>
      </c>
      <c r="I12" t="s">
        <v>739</v>
      </c>
    </row>
    <row r="13" spans="1:11">
      <c r="A13" t="s">
        <v>749</v>
      </c>
      <c r="B13" t="s">
        <v>750</v>
      </c>
      <c r="C13" t="s">
        <v>227</v>
      </c>
      <c r="D13" s="26" t="s">
        <v>1657</v>
      </c>
      <c r="E13" t="s">
        <v>751</v>
      </c>
      <c r="F13" t="str">
        <f>VLOOKUP([1]ieap!B13,[1]rmh!A$4:B$197,2,FALSE)</f>
        <v>Briquettes and patent fuel</v>
      </c>
      <c r="H13" t="s">
        <v>752</v>
      </c>
      <c r="I13" t="s">
        <v>751</v>
      </c>
    </row>
    <row r="14" spans="1:11">
      <c r="A14" t="s">
        <v>753</v>
      </c>
      <c r="B14" t="s">
        <v>750</v>
      </c>
      <c r="C14" t="s">
        <v>227</v>
      </c>
      <c r="D14" s="26" t="s">
        <v>1656</v>
      </c>
      <c r="E14" t="s">
        <v>754</v>
      </c>
      <c r="F14" t="str">
        <f>VLOOKUP([1]ieap!B14,[1]rmh!A$4:B$197,2,FALSE)</f>
        <v>Briquettes and patent fuel</v>
      </c>
      <c r="H14" t="s">
        <v>755</v>
      </c>
      <c r="I14" t="s">
        <v>756</v>
      </c>
    </row>
    <row r="15" spans="1:11">
      <c r="A15" t="s">
        <v>740</v>
      </c>
      <c r="B15" t="s">
        <v>224</v>
      </c>
      <c r="C15" t="s">
        <v>224</v>
      </c>
      <c r="D15" s="26" t="s">
        <v>1657</v>
      </c>
      <c r="E15" t="s">
        <v>741</v>
      </c>
      <c r="F15" t="str">
        <f>VLOOKUP([1]ieap!B15,[1]rmh!A$4:B$197,2,FALSE)</f>
        <v>Coke oven products</v>
      </c>
      <c r="H15" t="s">
        <v>742</v>
      </c>
      <c r="I15" t="s">
        <v>741</v>
      </c>
    </row>
    <row r="16" spans="1:11">
      <c r="A16" t="s">
        <v>743</v>
      </c>
      <c r="B16" t="s">
        <v>224</v>
      </c>
      <c r="C16" t="s">
        <v>224</v>
      </c>
      <c r="D16" s="26" t="s">
        <v>1657</v>
      </c>
      <c r="E16" t="s">
        <v>744</v>
      </c>
      <c r="F16" t="str">
        <f>VLOOKUP([1]ieap!B16,[1]rmh!A$4:B$197,2,FALSE)</f>
        <v>Coke oven products</v>
      </c>
      <c r="H16" t="s">
        <v>745</v>
      </c>
      <c r="I16" t="s">
        <v>744</v>
      </c>
    </row>
    <row r="17" spans="1:11">
      <c r="A17" t="s">
        <v>662</v>
      </c>
      <c r="B17" t="s">
        <v>557</v>
      </c>
      <c r="C17" t="s">
        <v>557</v>
      </c>
      <c r="D17" t="s">
        <v>557</v>
      </c>
      <c r="E17" t="s">
        <v>663</v>
      </c>
      <c r="F17" t="str">
        <f>VLOOKUP([1]ieap!B17,[1]rmh!A$4:B$197,2,FALSE)</f>
        <v>:</v>
      </c>
      <c r="H17" t="s">
        <v>664</v>
      </c>
      <c r="I17" t="s">
        <v>665</v>
      </c>
    </row>
    <row r="18" spans="1:11">
      <c r="A18" t="s">
        <v>874</v>
      </c>
      <c r="B18" t="s">
        <v>875</v>
      </c>
      <c r="C18" s="25" t="s">
        <v>420</v>
      </c>
      <c r="D18" t="s">
        <v>557</v>
      </c>
      <c r="E18" t="s">
        <v>876</v>
      </c>
      <c r="F18" t="str">
        <f>VLOOKUP([1]ieap!B18,[1]rmh!A$4:B$197,2,FALSE)</f>
        <v>Gas supply</v>
      </c>
      <c r="H18" t="s">
        <v>877</v>
      </c>
      <c r="I18" t="s">
        <v>876</v>
      </c>
      <c r="K18" t="s">
        <v>4369</v>
      </c>
    </row>
    <row r="19" spans="1:11">
      <c r="A19" t="s">
        <v>666</v>
      </c>
      <c r="B19" t="s">
        <v>557</v>
      </c>
      <c r="C19" t="s">
        <v>557</v>
      </c>
      <c r="D19" s="26" t="s">
        <v>557</v>
      </c>
      <c r="E19" t="s">
        <v>667</v>
      </c>
      <c r="F19" t="str">
        <f>VLOOKUP([1]ieap!B19,[1]rmh!A$4:B$197,2,FALSE)</f>
        <v>:</v>
      </c>
      <c r="H19" t="s">
        <v>668</v>
      </c>
      <c r="I19" t="s">
        <v>667</v>
      </c>
    </row>
    <row r="20" spans="1:11">
      <c r="A20" t="s">
        <v>669</v>
      </c>
      <c r="B20" t="s">
        <v>557</v>
      </c>
      <c r="C20" t="s">
        <v>557</v>
      </c>
      <c r="D20" s="26" t="s">
        <v>557</v>
      </c>
      <c r="E20" t="s">
        <v>670</v>
      </c>
      <c r="F20" t="str">
        <f>VLOOKUP([1]ieap!B20,[1]rmh!A$4:B$197,2,FALSE)</f>
        <v>:</v>
      </c>
      <c r="H20" t="s">
        <v>671</v>
      </c>
      <c r="I20" t="s">
        <v>670</v>
      </c>
    </row>
    <row r="21" spans="1:11">
      <c r="A21" t="s">
        <v>851</v>
      </c>
      <c r="B21" t="s">
        <v>852</v>
      </c>
      <c r="C21" t="s">
        <v>417</v>
      </c>
      <c r="D21" s="26" t="s">
        <v>3766</v>
      </c>
      <c r="E21" t="s">
        <v>853</v>
      </c>
      <c r="F21" t="str">
        <f>VLOOKUP([1]ieap!B21,[1]rmh!A$4:B$197,2,FALSE)</f>
        <v>Electricity supply</v>
      </c>
      <c r="H21" t="s">
        <v>854</v>
      </c>
      <c r="I21" t="s">
        <v>853</v>
      </c>
    </row>
    <row r="22" spans="1:11">
      <c r="A22" t="s">
        <v>729</v>
      </c>
      <c r="B22" t="s">
        <v>81</v>
      </c>
      <c r="C22" t="s">
        <v>81</v>
      </c>
      <c r="D22" s="26" t="s">
        <v>1659</v>
      </c>
      <c r="E22" t="s">
        <v>730</v>
      </c>
      <c r="F22" t="str">
        <f>VLOOKUP([1]ieap!B22,[1]rmh!A$4:B$197,2,FALSE)</f>
        <v>Natural gas</v>
      </c>
      <c r="H22" t="s">
        <v>731</v>
      </c>
      <c r="I22" t="s">
        <v>82</v>
      </c>
    </row>
    <row r="23" spans="1:11">
      <c r="A23" t="s">
        <v>878</v>
      </c>
      <c r="B23" t="s">
        <v>3931</v>
      </c>
      <c r="C23" t="s">
        <v>423</v>
      </c>
      <c r="D23" s="26" t="s">
        <v>3766</v>
      </c>
      <c r="E23" t="s">
        <v>879</v>
      </c>
      <c r="F23" t="str">
        <f>VLOOKUP([1]ieap!B23,[1]rmh!A$4:B$197,2,FALSE)</f>
        <v>Steam, air conditioning</v>
      </c>
      <c r="H23" t="s">
        <v>880</v>
      </c>
      <c r="I23" t="s">
        <v>879</v>
      </c>
    </row>
    <row r="24" spans="1:11">
      <c r="A24" t="s">
        <v>881</v>
      </c>
      <c r="B24" t="s">
        <v>3931</v>
      </c>
      <c r="C24" t="s">
        <v>423</v>
      </c>
      <c r="D24" s="26" t="s">
        <v>3766</v>
      </c>
      <c r="E24" t="s">
        <v>882</v>
      </c>
      <c r="F24" t="str">
        <f>VLOOKUP([1]ieap!B24,[1]rmh!A$4:B$197,2,FALSE)</f>
        <v>Steam, air conditioning</v>
      </c>
      <c r="H24" t="s">
        <v>880</v>
      </c>
      <c r="I24" t="s">
        <v>879</v>
      </c>
    </row>
    <row r="25" spans="1:11">
      <c r="A25" t="s">
        <v>847</v>
      </c>
      <c r="B25" t="s">
        <v>333</v>
      </c>
      <c r="C25" t="s">
        <v>333</v>
      </c>
      <c r="D25" s="26" t="s">
        <v>1653</v>
      </c>
      <c r="E25" t="s">
        <v>848</v>
      </c>
      <c r="F25" t="str">
        <f>VLOOKUP([1]ieap!B25,[1]rmh!A$4:B$197,2,FALSE)</f>
        <v>Nuclear fuel/heat</v>
      </c>
      <c r="H25" t="s">
        <v>849</v>
      </c>
      <c r="I25" t="s">
        <v>850</v>
      </c>
    </row>
    <row r="26" spans="1:11">
      <c r="A26" t="s">
        <v>720</v>
      </c>
      <c r="B26" t="s">
        <v>75</v>
      </c>
      <c r="C26" t="s">
        <v>75</v>
      </c>
      <c r="D26" s="26" t="s">
        <v>1658</v>
      </c>
      <c r="E26" t="s">
        <v>721</v>
      </c>
      <c r="F26" t="str">
        <f>VLOOKUP([1]ieap!B26,[1]rmh!A$4:B$197,2,FALSE)</f>
        <v>Petroleum oils</v>
      </c>
      <c r="H26" t="s">
        <v>722</v>
      </c>
      <c r="I26" t="s">
        <v>721</v>
      </c>
    </row>
    <row r="27" spans="1:11">
      <c r="A27" t="s">
        <v>672</v>
      </c>
      <c r="B27" t="s">
        <v>557</v>
      </c>
      <c r="C27" t="s">
        <v>557</v>
      </c>
      <c r="D27" t="s">
        <v>557</v>
      </c>
      <c r="E27" t="s">
        <v>673</v>
      </c>
      <c r="F27" t="str">
        <f>VLOOKUP([1]ieap!B27,[1]rmh!A$4:B$197,2,FALSE)</f>
        <v>:</v>
      </c>
      <c r="H27" t="s">
        <v>674</v>
      </c>
      <c r="I27" t="s">
        <v>675</v>
      </c>
    </row>
    <row r="28" spans="1:11">
      <c r="A28" t="s">
        <v>723</v>
      </c>
      <c r="B28" t="s">
        <v>75</v>
      </c>
      <c r="C28" t="s">
        <v>75</v>
      </c>
      <c r="D28" s="26" t="s">
        <v>1658</v>
      </c>
      <c r="E28" t="s">
        <v>724</v>
      </c>
      <c r="F28" t="str">
        <f>VLOOKUP([1]ieap!B28,[1]rmh!A$4:B$197,2,FALSE)</f>
        <v>Petroleum oils</v>
      </c>
      <c r="H28" t="s">
        <v>725</v>
      </c>
      <c r="I28" t="s">
        <v>724</v>
      </c>
    </row>
    <row r="29" spans="1:11">
      <c r="A29" t="s">
        <v>746</v>
      </c>
      <c r="B29" t="s">
        <v>785</v>
      </c>
      <c r="C29" t="s">
        <v>227</v>
      </c>
      <c r="D29" s="26" t="s">
        <v>1658</v>
      </c>
      <c r="E29" t="s">
        <v>747</v>
      </c>
      <c r="F29" t="str">
        <f>VLOOKUP([1]ieap!B29,[1]rmh!A$4:B$197,2,FALSE)</f>
        <v>Other petroleum products</v>
      </c>
      <c r="H29" t="s">
        <v>748</v>
      </c>
      <c r="I29" t="s">
        <v>747</v>
      </c>
    </row>
    <row r="30" spans="1:11">
      <c r="A30" t="s">
        <v>784</v>
      </c>
      <c r="B30" t="s">
        <v>785</v>
      </c>
      <c r="C30" s="25" t="s">
        <v>227</v>
      </c>
      <c r="D30" t="s">
        <v>557</v>
      </c>
      <c r="E30" t="s">
        <v>786</v>
      </c>
      <c r="F30" t="str">
        <f>VLOOKUP([1]ieap!B30,[1]rmh!A$4:B$197,2,FALSE)</f>
        <v>Other petroleum products</v>
      </c>
      <c r="H30" t="s">
        <v>787</v>
      </c>
      <c r="I30" t="s">
        <v>788</v>
      </c>
    </row>
    <row r="31" spans="1:11">
      <c r="A31" t="s">
        <v>789</v>
      </c>
      <c r="B31" t="s">
        <v>785</v>
      </c>
      <c r="C31" t="s">
        <v>227</v>
      </c>
      <c r="D31" s="26" t="s">
        <v>1658</v>
      </c>
      <c r="E31" t="s">
        <v>790</v>
      </c>
      <c r="F31" t="str">
        <f>VLOOKUP([1]ieap!B31,[1]rmh!A$4:B$197,2,FALSE)</f>
        <v>Other petroleum products</v>
      </c>
      <c r="H31" t="s">
        <v>791</v>
      </c>
      <c r="I31" t="s">
        <v>790</v>
      </c>
    </row>
    <row r="32" spans="1:11">
      <c r="A32" t="s">
        <v>792</v>
      </c>
      <c r="B32" t="s">
        <v>785</v>
      </c>
      <c r="C32" t="s">
        <v>227</v>
      </c>
      <c r="D32" s="26" t="s">
        <v>1658</v>
      </c>
      <c r="E32" t="s">
        <v>793</v>
      </c>
      <c r="F32" t="str">
        <f>VLOOKUP([1]ieap!B32,[1]rmh!A$4:B$197,2,FALSE)</f>
        <v>Other petroleum products</v>
      </c>
      <c r="H32" t="s">
        <v>794</v>
      </c>
      <c r="I32" t="s">
        <v>793</v>
      </c>
    </row>
    <row r="33" spans="1:9">
      <c r="A33" t="s">
        <v>795</v>
      </c>
      <c r="B33" t="s">
        <v>785</v>
      </c>
      <c r="C33" t="s">
        <v>227</v>
      </c>
      <c r="D33" t="s">
        <v>557</v>
      </c>
      <c r="E33" t="s">
        <v>796</v>
      </c>
      <c r="F33" t="str">
        <f>VLOOKUP([1]ieap!B33,[1]rmh!A$4:B$197,2,FALSE)</f>
        <v>Other petroleum products</v>
      </c>
      <c r="H33" t="s">
        <v>797</v>
      </c>
      <c r="I33" t="s">
        <v>796</v>
      </c>
    </row>
    <row r="34" spans="1:9">
      <c r="A34" t="s">
        <v>798</v>
      </c>
      <c r="B34" t="s">
        <v>785</v>
      </c>
      <c r="C34" t="s">
        <v>227</v>
      </c>
      <c r="D34" t="s">
        <v>557</v>
      </c>
      <c r="E34" t="s">
        <v>799</v>
      </c>
      <c r="F34" t="str">
        <f>VLOOKUP([1]ieap!B34,[1]rmh!A$4:B$197,2,FALSE)</f>
        <v>Other petroleum products</v>
      </c>
      <c r="H34" t="s">
        <v>800</v>
      </c>
      <c r="I34" t="s">
        <v>801</v>
      </c>
    </row>
    <row r="35" spans="1:9">
      <c r="A35" t="s">
        <v>802</v>
      </c>
      <c r="B35" t="s">
        <v>785</v>
      </c>
      <c r="C35" t="s">
        <v>227</v>
      </c>
      <c r="D35" t="s">
        <v>557</v>
      </c>
      <c r="E35" t="s">
        <v>803</v>
      </c>
      <c r="F35" t="str">
        <f>VLOOKUP([1]ieap!B35,[1]rmh!A$4:B$197,2,FALSE)</f>
        <v>Other petroleum products</v>
      </c>
      <c r="H35" t="s">
        <v>804</v>
      </c>
      <c r="I35" t="s">
        <v>803</v>
      </c>
    </row>
    <row r="36" spans="1:9">
      <c r="A36" t="s">
        <v>757</v>
      </c>
      <c r="B36" t="s">
        <v>758</v>
      </c>
      <c r="C36" t="s">
        <v>227</v>
      </c>
      <c r="D36" t="s">
        <v>557</v>
      </c>
      <c r="E36" t="s">
        <v>759</v>
      </c>
      <c r="F36" t="str">
        <f>VLOOKUP([1]ieap!B36,[1]rmh!A$4:B$197,2,FALSE)</f>
        <v>Motor and aviation gasoline</v>
      </c>
      <c r="H36" t="s">
        <v>760</v>
      </c>
      <c r="I36" t="s">
        <v>759</v>
      </c>
    </row>
    <row r="37" spans="1:9">
      <c r="A37" t="s">
        <v>761</v>
      </c>
      <c r="B37" t="s">
        <v>758</v>
      </c>
      <c r="C37" t="s">
        <v>227</v>
      </c>
      <c r="D37" s="26" t="s">
        <v>1658</v>
      </c>
      <c r="E37" t="s">
        <v>762</v>
      </c>
      <c r="F37" t="str">
        <f>VLOOKUP([1]ieap!B37,[1]rmh!A$4:B$197,2,FALSE)</f>
        <v>Motor and aviation gasoline</v>
      </c>
      <c r="H37" t="s">
        <v>763</v>
      </c>
      <c r="I37" t="s">
        <v>764</v>
      </c>
    </row>
    <row r="38" spans="1:9">
      <c r="A38" t="s">
        <v>765</v>
      </c>
      <c r="B38" t="s">
        <v>766</v>
      </c>
      <c r="C38" t="s">
        <v>227</v>
      </c>
      <c r="D38" s="26" t="s">
        <v>1658</v>
      </c>
      <c r="E38" t="s">
        <v>767</v>
      </c>
      <c r="F38" t="str">
        <f>VLOOKUP([1]ieap!B38,[1]rmh!A$4:B$197,2,FALSE)</f>
        <v>Kerosene</v>
      </c>
      <c r="H38" t="s">
        <v>768</v>
      </c>
      <c r="I38" t="s">
        <v>769</v>
      </c>
    </row>
    <row r="39" spans="1:9">
      <c r="A39" t="s">
        <v>770</v>
      </c>
      <c r="B39" t="s">
        <v>766</v>
      </c>
      <c r="C39" t="s">
        <v>227</v>
      </c>
      <c r="D39" s="26" t="s">
        <v>1658</v>
      </c>
      <c r="E39" t="s">
        <v>771</v>
      </c>
      <c r="F39" t="str">
        <f>VLOOKUP([1]ieap!B39,[1]rmh!A$4:B$197,2,FALSE)</f>
        <v>Kerosene</v>
      </c>
      <c r="H39" t="s">
        <v>772</v>
      </c>
      <c r="I39" t="s">
        <v>773</v>
      </c>
    </row>
    <row r="40" spans="1:9">
      <c r="A40" t="s">
        <v>805</v>
      </c>
      <c r="B40" t="s">
        <v>785</v>
      </c>
      <c r="C40" t="s">
        <v>227</v>
      </c>
      <c r="D40" s="26" t="s">
        <v>1658</v>
      </c>
      <c r="E40" t="s">
        <v>806</v>
      </c>
      <c r="F40" t="str">
        <f>VLOOKUP([1]ieap!B40,[1]rmh!A$4:B$197,2,FALSE)</f>
        <v>Other petroleum products</v>
      </c>
      <c r="H40" t="s">
        <v>807</v>
      </c>
      <c r="I40" t="s">
        <v>806</v>
      </c>
    </row>
    <row r="41" spans="1:9">
      <c r="A41" t="s">
        <v>774</v>
      </c>
      <c r="B41" t="s">
        <v>775</v>
      </c>
      <c r="C41" t="s">
        <v>227</v>
      </c>
      <c r="D41" s="26" t="s">
        <v>1658</v>
      </c>
      <c r="E41" t="s">
        <v>776</v>
      </c>
      <c r="F41" t="str">
        <f>VLOOKUP([1]ieap!B41,[1]rmh!A$4:B$197,2,FALSE)</f>
        <v>Diesel</v>
      </c>
      <c r="H41" t="s">
        <v>777</v>
      </c>
      <c r="I41" t="s">
        <v>778</v>
      </c>
    </row>
    <row r="42" spans="1:9">
      <c r="A42" t="s">
        <v>779</v>
      </c>
      <c r="B42" t="s">
        <v>780</v>
      </c>
      <c r="C42" t="s">
        <v>227</v>
      </c>
      <c r="D42" s="26" t="s">
        <v>1658</v>
      </c>
      <c r="E42" t="s">
        <v>781</v>
      </c>
      <c r="F42" t="str">
        <f>VLOOKUP([1]ieap!B42,[1]rmh!A$4:B$197,2,FALSE)</f>
        <v>Fuel oil</v>
      </c>
      <c r="H42" t="s">
        <v>782</v>
      </c>
      <c r="I42" t="s">
        <v>783</v>
      </c>
    </row>
    <row r="43" spans="1:9">
      <c r="A43" t="s">
        <v>808</v>
      </c>
      <c r="B43" t="s">
        <v>785</v>
      </c>
      <c r="C43" t="s">
        <v>227</v>
      </c>
      <c r="D43" s="26" t="s">
        <v>1658</v>
      </c>
      <c r="E43" t="s">
        <v>809</v>
      </c>
      <c r="F43" t="str">
        <f>VLOOKUP([1]ieap!B43,[1]rmh!A$4:B$197,2,FALSE)</f>
        <v>Other petroleum products</v>
      </c>
      <c r="H43" t="s">
        <v>810</v>
      </c>
      <c r="I43" t="s">
        <v>811</v>
      </c>
    </row>
    <row r="44" spans="1:9">
      <c r="A44" t="s">
        <v>812</v>
      </c>
      <c r="B44" t="s">
        <v>785</v>
      </c>
      <c r="C44" t="s">
        <v>227</v>
      </c>
      <c r="D44" s="26" t="s">
        <v>1658</v>
      </c>
      <c r="E44" t="s">
        <v>813</v>
      </c>
      <c r="F44" t="str">
        <f>VLOOKUP([1]ieap!B44,[1]rmh!A$4:B$197,2,FALSE)</f>
        <v>Other petroleum products</v>
      </c>
      <c r="H44" t="s">
        <v>814</v>
      </c>
      <c r="I44" t="s">
        <v>813</v>
      </c>
    </row>
    <row r="45" spans="1:9">
      <c r="A45" t="s">
        <v>815</v>
      </c>
      <c r="B45" t="s">
        <v>785</v>
      </c>
      <c r="C45" t="s">
        <v>227</v>
      </c>
      <c r="D45" s="26" t="s">
        <v>1658</v>
      </c>
      <c r="E45" t="s">
        <v>816</v>
      </c>
      <c r="F45" t="str">
        <f>VLOOKUP([1]ieap!B45,[1]rmh!A$4:B$197,2,FALSE)</f>
        <v>Other petroleum products</v>
      </c>
      <c r="H45" t="s">
        <v>817</v>
      </c>
      <c r="I45" t="s">
        <v>816</v>
      </c>
    </row>
    <row r="46" spans="1:9">
      <c r="A46" t="s">
        <v>818</v>
      </c>
      <c r="B46" t="s">
        <v>785</v>
      </c>
      <c r="C46" t="s">
        <v>227</v>
      </c>
      <c r="D46" s="26" t="s">
        <v>1658</v>
      </c>
      <c r="E46" t="s">
        <v>819</v>
      </c>
      <c r="F46" t="str">
        <f>VLOOKUP([1]ieap!B46,[1]rmh!A$4:B$197,2,FALSE)</f>
        <v>Other petroleum products</v>
      </c>
      <c r="H46" t="s">
        <v>820</v>
      </c>
      <c r="I46" t="s">
        <v>819</v>
      </c>
    </row>
    <row r="47" spans="1:9">
      <c r="A47" t="s">
        <v>821</v>
      </c>
      <c r="B47" t="s">
        <v>785</v>
      </c>
      <c r="C47" t="s">
        <v>227</v>
      </c>
      <c r="D47" s="26" t="s">
        <v>1658</v>
      </c>
      <c r="E47" t="s">
        <v>822</v>
      </c>
      <c r="F47" t="str">
        <f>VLOOKUP([1]ieap!B47,[1]rmh!A$4:B$197,2,FALSE)</f>
        <v>Other petroleum products</v>
      </c>
      <c r="H47" t="s">
        <v>823</v>
      </c>
      <c r="I47" t="s">
        <v>822</v>
      </c>
    </row>
    <row r="48" spans="1:9">
      <c r="A48" t="s">
        <v>824</v>
      </c>
      <c r="B48" t="s">
        <v>785</v>
      </c>
      <c r="C48" t="s">
        <v>227</v>
      </c>
      <c r="D48" s="26" t="s">
        <v>1658</v>
      </c>
      <c r="E48" t="s">
        <v>825</v>
      </c>
      <c r="F48" t="str">
        <f>VLOOKUP([1]ieap!B48,[1]rmh!A$4:B$197,2,FALSE)</f>
        <v>Other petroleum products</v>
      </c>
      <c r="H48" t="s">
        <v>826</v>
      </c>
      <c r="I48" t="s">
        <v>827</v>
      </c>
    </row>
    <row r="49" spans="1:9">
      <c r="A49" t="s">
        <v>676</v>
      </c>
      <c r="B49" t="s">
        <v>557</v>
      </c>
      <c r="C49" t="s">
        <v>557</v>
      </c>
      <c r="D49" t="s">
        <v>557</v>
      </c>
      <c r="E49" t="s">
        <v>159</v>
      </c>
      <c r="F49" t="str">
        <f>VLOOKUP([1]ieap!B49,[1]rmh!A$4:B$197,2,FALSE)</f>
        <v>:</v>
      </c>
      <c r="H49" t="s">
        <v>677</v>
      </c>
      <c r="I49" t="s">
        <v>159</v>
      </c>
    </row>
    <row r="50" spans="1:9">
      <c r="A50" t="s">
        <v>678</v>
      </c>
      <c r="B50" t="s">
        <v>557</v>
      </c>
      <c r="C50" t="s">
        <v>557</v>
      </c>
      <c r="D50" t="s">
        <v>557</v>
      </c>
      <c r="E50" t="s">
        <v>679</v>
      </c>
      <c r="F50" t="str">
        <f>VLOOKUP([1]ieap!B50,[1]rmh!A$4:B$197,2,FALSE)</f>
        <v>:</v>
      </c>
      <c r="H50" t="s">
        <v>680</v>
      </c>
      <c r="I50" t="s">
        <v>679</v>
      </c>
    </row>
    <row r="51" spans="1:9">
      <c r="A51" t="s">
        <v>694</v>
      </c>
      <c r="B51" t="s">
        <v>695</v>
      </c>
      <c r="C51" s="25" t="s">
        <v>63</v>
      </c>
      <c r="D51" t="s">
        <v>697</v>
      </c>
      <c r="E51" t="s">
        <v>696</v>
      </c>
      <c r="F51" t="str">
        <f>VLOOKUP([1]ieap!B51,[1]rmh!A$4:B$197,2,FALSE)</f>
        <v>Fuel woord, other primary solid biofuels</v>
      </c>
      <c r="H51" t="s">
        <v>698</v>
      </c>
      <c r="I51" t="s">
        <v>696</v>
      </c>
    </row>
    <row r="52" spans="1:9">
      <c r="A52" t="s">
        <v>681</v>
      </c>
      <c r="B52" t="s">
        <v>557</v>
      </c>
      <c r="C52" t="s">
        <v>557</v>
      </c>
      <c r="D52" t="s">
        <v>557</v>
      </c>
      <c r="E52" t="s">
        <v>682</v>
      </c>
      <c r="F52" t="str">
        <f>VLOOKUP([1]ieap!B52,[1]rmh!A$4:B$197,2,FALSE)</f>
        <v>:</v>
      </c>
      <c r="H52" t="s">
        <v>683</v>
      </c>
      <c r="I52" t="s">
        <v>682</v>
      </c>
    </row>
    <row r="53" spans="1:9">
      <c r="A53" t="s">
        <v>828</v>
      </c>
      <c r="B53" t="s">
        <v>829</v>
      </c>
      <c r="C53" s="25" t="s">
        <v>248</v>
      </c>
      <c r="D53" t="s">
        <v>557</v>
      </c>
      <c r="E53" t="s">
        <v>830</v>
      </c>
      <c r="F53" t="str">
        <f>VLOOKUP([1]ieap!B53,[1]rmh!A$4:B$197,2,FALSE)</f>
        <v>Biofuels from agricultural biomass</v>
      </c>
      <c r="H53" t="s">
        <v>831</v>
      </c>
      <c r="I53" t="s">
        <v>832</v>
      </c>
    </row>
    <row r="54" spans="1:9">
      <c r="A54" t="s">
        <v>833</v>
      </c>
      <c r="B54" t="s">
        <v>829</v>
      </c>
      <c r="C54" s="25" t="s">
        <v>248</v>
      </c>
      <c r="D54" t="s">
        <v>557</v>
      </c>
      <c r="E54" t="s">
        <v>834</v>
      </c>
      <c r="F54" t="str">
        <f>VLOOKUP([1]ieap!B54,[1]rmh!A$4:B$197,2,FALSE)</f>
        <v>Biofuels from agricultural biomass</v>
      </c>
      <c r="H54" t="s">
        <v>835</v>
      </c>
      <c r="I54" t="s">
        <v>836</v>
      </c>
    </row>
    <row r="55" spans="1:9">
      <c r="A55" t="s">
        <v>837</v>
      </c>
      <c r="B55" t="s">
        <v>829</v>
      </c>
      <c r="C55" s="25" t="s">
        <v>248</v>
      </c>
      <c r="D55" t="s">
        <v>557</v>
      </c>
      <c r="E55" t="s">
        <v>838</v>
      </c>
      <c r="F55" t="str">
        <f>VLOOKUP([1]ieap!B55,[1]rmh!A$4:B$197,2,FALSE)</f>
        <v>Biofuels from agricultural biomass</v>
      </c>
      <c r="H55" t="s">
        <v>839</v>
      </c>
      <c r="I55" t="s">
        <v>840</v>
      </c>
    </row>
    <row r="56" spans="1:9">
      <c r="A56" t="s">
        <v>841</v>
      </c>
      <c r="B56" t="s">
        <v>829</v>
      </c>
      <c r="C56" s="25" t="s">
        <v>248</v>
      </c>
      <c r="D56" t="s">
        <v>557</v>
      </c>
      <c r="E56" t="s">
        <v>842</v>
      </c>
      <c r="F56" t="str">
        <f>VLOOKUP([1]ieap!B56,[1]rmh!A$4:B$197,2,FALSE)</f>
        <v>Biofuels from agricultural biomass</v>
      </c>
      <c r="H56" t="s">
        <v>843</v>
      </c>
      <c r="I56" t="s">
        <v>842</v>
      </c>
    </row>
    <row r="57" spans="1:9">
      <c r="A57" t="s">
        <v>844</v>
      </c>
      <c r="B57" t="s">
        <v>829</v>
      </c>
      <c r="C57" s="25" t="s">
        <v>248</v>
      </c>
      <c r="D57" t="s">
        <v>557</v>
      </c>
      <c r="E57" t="s">
        <v>845</v>
      </c>
      <c r="F57" t="str">
        <f>VLOOKUP([1]ieap!B57,[1]rmh!A$4:B$197,2,FALSE)</f>
        <v>Biofuels from agricultural biomass</v>
      </c>
      <c r="H57" t="s">
        <v>846</v>
      </c>
      <c r="I57" t="s">
        <v>845</v>
      </c>
    </row>
    <row r="58" spans="1:9">
      <c r="A58" t="s">
        <v>684</v>
      </c>
      <c r="B58" t="s">
        <v>557</v>
      </c>
      <c r="C58" t="s">
        <v>557</v>
      </c>
      <c r="D58" t="s">
        <v>557</v>
      </c>
      <c r="E58" t="s">
        <v>685</v>
      </c>
      <c r="F58" t="str">
        <f>VLOOKUP([1]ieap!B58,[1]rmh!A$4:B$197,2,FALSE)</f>
        <v>:</v>
      </c>
      <c r="H58" t="s">
        <v>686</v>
      </c>
      <c r="I58" t="s">
        <v>687</v>
      </c>
    </row>
    <row r="59" spans="1:9">
      <c r="A59" t="s">
        <v>855</v>
      </c>
      <c r="B59" t="s">
        <v>856</v>
      </c>
      <c r="C59" t="s">
        <v>417</v>
      </c>
      <c r="D59" s="26" t="s">
        <v>859</v>
      </c>
      <c r="E59" t="s">
        <v>857</v>
      </c>
      <c r="F59" t="str">
        <f>VLOOKUP([1]ieap!B59,[1]rmh!A$4:B$197,2,FALSE)</f>
        <v>Hydro</v>
      </c>
      <c r="H59" t="s">
        <v>858</v>
      </c>
      <c r="I59" t="s">
        <v>859</v>
      </c>
    </row>
    <row r="60" spans="1:9">
      <c r="A60" t="s">
        <v>883</v>
      </c>
      <c r="B60" t="s">
        <v>884</v>
      </c>
      <c r="C60" t="s">
        <v>423</v>
      </c>
      <c r="D60" t="s">
        <v>885</v>
      </c>
      <c r="E60" t="s">
        <v>885</v>
      </c>
      <c r="F60" t="str">
        <f>VLOOKUP([1]ieap!B60,[1]rmh!A$4:B$197,2,FALSE)</f>
        <v>Geothermal</v>
      </c>
      <c r="H60" t="s">
        <v>886</v>
      </c>
      <c r="I60" t="s">
        <v>885</v>
      </c>
    </row>
    <row r="61" spans="1:9">
      <c r="A61" t="s">
        <v>860</v>
      </c>
      <c r="B61" t="s">
        <v>861</v>
      </c>
      <c r="C61" t="s">
        <v>417</v>
      </c>
      <c r="D61" t="s">
        <v>862</v>
      </c>
      <c r="E61" t="s">
        <v>862</v>
      </c>
      <c r="F61" t="str">
        <f>VLOOKUP([1]ieap!B61,[1]rmh!A$4:B$197,2,FALSE)</f>
        <v>Wind</v>
      </c>
      <c r="H61" t="s">
        <v>863</v>
      </c>
      <c r="I61" t="s">
        <v>862</v>
      </c>
    </row>
    <row r="62" spans="1:9">
      <c r="A62" t="s">
        <v>887</v>
      </c>
      <c r="B62" t="s">
        <v>888</v>
      </c>
      <c r="C62" t="s">
        <v>423</v>
      </c>
      <c r="D62" s="26" t="s">
        <v>3820</v>
      </c>
      <c r="E62" t="s">
        <v>889</v>
      </c>
      <c r="F62" t="str">
        <f>VLOOKUP([1]ieap!B62,[1]rmh!A$4:B$197,2,FALSE)</f>
        <v>Solar thermal</v>
      </c>
      <c r="H62" t="s">
        <v>890</v>
      </c>
      <c r="I62" t="s">
        <v>889</v>
      </c>
    </row>
    <row r="63" spans="1:9">
      <c r="A63" t="s">
        <v>864</v>
      </c>
      <c r="B63" t="s">
        <v>865</v>
      </c>
      <c r="C63" t="s">
        <v>417</v>
      </c>
      <c r="D63" s="26" t="s">
        <v>3820</v>
      </c>
      <c r="E63" t="s">
        <v>866</v>
      </c>
      <c r="F63" t="str">
        <f>VLOOKUP([1]ieap!B63,[1]rmh!A$4:B$197,2,FALSE)</f>
        <v>Solar photovoltaic</v>
      </c>
      <c r="H63" t="s">
        <v>867</v>
      </c>
      <c r="I63" t="s">
        <v>868</v>
      </c>
    </row>
    <row r="64" spans="1:9">
      <c r="A64" t="s">
        <v>869</v>
      </c>
      <c r="B64" t="s">
        <v>870</v>
      </c>
      <c r="C64" t="s">
        <v>417</v>
      </c>
      <c r="D64" s="26" t="s">
        <v>859</v>
      </c>
      <c r="E64" t="s">
        <v>871</v>
      </c>
      <c r="F64" t="str">
        <f>VLOOKUP([1]ieap!B64,[1]rmh!A$4:B$197,2,FALSE)</f>
        <v>Tide, wave, ocean</v>
      </c>
      <c r="H64" t="s">
        <v>872</v>
      </c>
      <c r="I64" t="s">
        <v>873</v>
      </c>
    </row>
    <row r="65" spans="1:9">
      <c r="A65" t="s">
        <v>726</v>
      </c>
      <c r="B65" t="s">
        <v>78</v>
      </c>
      <c r="C65" t="s">
        <v>78</v>
      </c>
      <c r="D65" s="26" t="s">
        <v>1658</v>
      </c>
      <c r="E65" t="s">
        <v>727</v>
      </c>
      <c r="F65" t="str">
        <f>VLOOKUP([1]ieap!B65,[1]rmh!A$4:B$197,2,FALSE)</f>
        <v>Oil shale, tar sands</v>
      </c>
      <c r="H65" t="s">
        <v>728</v>
      </c>
      <c r="I65" t="s">
        <v>727</v>
      </c>
    </row>
    <row r="66" spans="1:9">
      <c r="A66" t="s">
        <v>688</v>
      </c>
      <c r="B66" t="s">
        <v>557</v>
      </c>
      <c r="C66" t="s">
        <v>557</v>
      </c>
      <c r="D66" t="s">
        <v>557</v>
      </c>
      <c r="E66" t="s">
        <v>689</v>
      </c>
      <c r="F66" t="str">
        <f>VLOOKUP([1]ieap!B66,[1]rmh!A$4:B$197,2,FALSE)</f>
        <v>:</v>
      </c>
      <c r="H66" t="s">
        <v>688</v>
      </c>
      <c r="I66" t="s">
        <v>689</v>
      </c>
    </row>
    <row r="67" spans="1:9">
      <c r="A67" t="s">
        <v>891</v>
      </c>
      <c r="B67" t="s">
        <v>892</v>
      </c>
      <c r="C67" s="25" t="s">
        <v>429</v>
      </c>
      <c r="D67" t="s">
        <v>894</v>
      </c>
      <c r="E67" t="s">
        <v>893</v>
      </c>
      <c r="F67" t="str">
        <f>VLOOKUP([1]ieap!B67,[1]rmh!A$4:B$197,2,FALSE)</f>
        <v>Energetic recovery of waste</v>
      </c>
      <c r="H67" t="s">
        <v>895</v>
      </c>
      <c r="I67" t="s">
        <v>896</v>
      </c>
    </row>
    <row r="68" spans="1:9">
      <c r="A68" t="s">
        <v>897</v>
      </c>
      <c r="B68" t="s">
        <v>892</v>
      </c>
      <c r="C68" s="25" t="s">
        <v>429</v>
      </c>
      <c r="D68" t="s">
        <v>894</v>
      </c>
      <c r="E68" t="s">
        <v>898</v>
      </c>
      <c r="F68" t="str">
        <f>VLOOKUP([1]ieap!B68,[1]rmh!A$4:B$197,2,FALSE)</f>
        <v>Energetic recovery of waste</v>
      </c>
      <c r="H68" t="s">
        <v>899</v>
      </c>
      <c r="I68" t="s">
        <v>900</v>
      </c>
    </row>
    <row r="69" spans="1:9">
      <c r="A69" t="s">
        <v>901</v>
      </c>
      <c r="B69" t="s">
        <v>892</v>
      </c>
      <c r="C69" s="25" t="s">
        <v>429</v>
      </c>
      <c r="D69" t="s">
        <v>894</v>
      </c>
      <c r="E69" t="s">
        <v>902</v>
      </c>
      <c r="F69" t="str">
        <f>VLOOKUP([1]ieap!B69,[1]rmh!A$4:B$197,2,FALSE)</f>
        <v>Energetic recovery of waste</v>
      </c>
      <c r="H69" t="s">
        <v>903</v>
      </c>
      <c r="I69" t="s">
        <v>904</v>
      </c>
    </row>
    <row r="70" spans="1:9">
      <c r="A70" t="s">
        <v>690</v>
      </c>
      <c r="B70" t="s">
        <v>557</v>
      </c>
      <c r="C70" t="s">
        <v>557</v>
      </c>
      <c r="D70" t="s">
        <v>557</v>
      </c>
      <c r="E70" t="s">
        <v>691</v>
      </c>
      <c r="F70" t="str">
        <f>VLOOKUP([1]ieap!B70,[1]rmh!A$4:B$197,2,FALSE)</f>
        <v>:</v>
      </c>
      <c r="H70" t="s">
        <v>692</v>
      </c>
      <c r="I70" t="s">
        <v>693</v>
      </c>
    </row>
  </sheetData>
  <phoneticPr fontId="9" type="noConversion"/>
  <pageMargins left="0.7" right="0.7" top="0.78749999999999998" bottom="0.78749999999999998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44"/>
  <sheetViews>
    <sheetView zoomScale="115" zoomScaleNormal="115" workbookViewId="0">
      <pane ySplit="2" topLeftCell="A12" activePane="bottomLeft" state="frozen"/>
      <selection pane="bottomLeft" activeCell="B1" sqref="B1"/>
    </sheetView>
  </sheetViews>
  <sheetFormatPr defaultColWidth="10.6640625" defaultRowHeight="13.8"/>
  <cols>
    <col min="1" max="1" width="15.88671875" customWidth="1"/>
    <col min="2" max="2" width="34.44140625" style="27" customWidth="1"/>
    <col min="3" max="3" width="34.44140625" style="34" customWidth="1"/>
    <col min="4" max="4" width="15.88671875" customWidth="1"/>
    <col min="5" max="5" width="18.33203125" customWidth="1"/>
    <col min="6" max="6" width="15.21875" customWidth="1"/>
    <col min="7" max="7" width="72.5546875" customWidth="1"/>
    <col min="8" max="8" width="132.6640625" customWidth="1"/>
  </cols>
  <sheetData>
    <row r="1" spans="1:8">
      <c r="B1" s="46" t="s">
        <v>4524</v>
      </c>
      <c r="C1" s="33"/>
    </row>
    <row r="2" spans="1:8" ht="14.4">
      <c r="A2" s="12" t="s">
        <v>3450</v>
      </c>
      <c r="B2" s="24" t="s">
        <v>3867</v>
      </c>
      <c r="C2" s="32" t="s">
        <v>653</v>
      </c>
      <c r="D2" s="12" t="s">
        <v>2</v>
      </c>
      <c r="E2" s="12" t="s">
        <v>1</v>
      </c>
      <c r="F2" s="12" t="s">
        <v>3451</v>
      </c>
      <c r="G2" s="12" t="s">
        <v>3452</v>
      </c>
      <c r="H2" s="24" t="s">
        <v>3241</v>
      </c>
    </row>
    <row r="3" spans="1:8">
      <c r="A3" t="s">
        <v>3453</v>
      </c>
      <c r="B3" s="27" t="s">
        <v>557</v>
      </c>
      <c r="C3" s="34" t="s">
        <v>557</v>
      </c>
      <c r="D3" t="s">
        <v>557</v>
      </c>
      <c r="E3" t="s">
        <v>557</v>
      </c>
      <c r="G3" t="s">
        <v>3454</v>
      </c>
    </row>
    <row r="4" spans="1:8">
      <c r="A4" t="s">
        <v>3455</v>
      </c>
      <c r="B4" s="27" t="s">
        <v>4035</v>
      </c>
      <c r="C4" s="26" t="s">
        <v>557</v>
      </c>
      <c r="D4" t="s">
        <v>557</v>
      </c>
      <c r="E4" t="s">
        <v>416</v>
      </c>
      <c r="G4" t="s">
        <v>3456</v>
      </c>
    </row>
    <row r="5" spans="1:8">
      <c r="A5" t="s">
        <v>555</v>
      </c>
      <c r="B5" s="27" t="s">
        <v>555</v>
      </c>
      <c r="C5" s="26" t="s">
        <v>555</v>
      </c>
      <c r="D5" t="s">
        <v>555</v>
      </c>
      <c r="E5" s="11" t="s">
        <v>555</v>
      </c>
      <c r="F5" s="11"/>
      <c r="G5" t="s">
        <v>556</v>
      </c>
    </row>
    <row r="6" spans="1:8">
      <c r="A6" t="s">
        <v>3457</v>
      </c>
      <c r="B6" s="27" t="s">
        <v>557</v>
      </c>
      <c r="C6" s="34" t="s">
        <v>557</v>
      </c>
      <c r="D6" t="s">
        <v>557</v>
      </c>
      <c r="E6" t="s">
        <v>557</v>
      </c>
      <c r="G6" t="s">
        <v>3458</v>
      </c>
    </row>
    <row r="7" spans="1:8">
      <c r="A7" t="s">
        <v>3459</v>
      </c>
      <c r="B7" s="27" t="s">
        <v>4054</v>
      </c>
      <c r="C7" s="26" t="s">
        <v>432</v>
      </c>
      <c r="D7" t="s">
        <v>557</v>
      </c>
      <c r="E7" t="s">
        <v>431</v>
      </c>
      <c r="G7" t="s">
        <v>3460</v>
      </c>
    </row>
    <row r="8" spans="1:8">
      <c r="A8" t="s">
        <v>3461</v>
      </c>
      <c r="B8" s="27" t="s">
        <v>4361</v>
      </c>
      <c r="C8" s="26" t="s">
        <v>4122</v>
      </c>
      <c r="D8" t="s">
        <v>557</v>
      </c>
      <c r="E8" t="s">
        <v>3462</v>
      </c>
      <c r="G8" t="s">
        <v>3463</v>
      </c>
    </row>
    <row r="9" spans="1:8">
      <c r="A9" t="s">
        <v>3464</v>
      </c>
      <c r="B9" s="27" t="s">
        <v>557</v>
      </c>
      <c r="C9" s="34" t="s">
        <v>557</v>
      </c>
      <c r="D9" t="s">
        <v>557</v>
      </c>
      <c r="E9" t="s">
        <v>557</v>
      </c>
      <c r="G9" t="s">
        <v>3465</v>
      </c>
    </row>
    <row r="10" spans="1:8">
      <c r="A10" t="s">
        <v>3466</v>
      </c>
      <c r="B10" s="27" t="s">
        <v>4182</v>
      </c>
      <c r="C10" s="26" t="s">
        <v>4180</v>
      </c>
      <c r="D10" t="s">
        <v>557</v>
      </c>
      <c r="E10" t="s">
        <v>3163</v>
      </c>
      <c r="G10" t="s">
        <v>3467</v>
      </c>
    </row>
    <row r="11" spans="1:8">
      <c r="A11" t="s">
        <v>3468</v>
      </c>
      <c r="B11" s="27" t="s">
        <v>4131</v>
      </c>
      <c r="C11" s="26" t="s">
        <v>4129</v>
      </c>
      <c r="D11" t="s">
        <v>557</v>
      </c>
      <c r="E11" t="s">
        <v>3469</v>
      </c>
      <c r="G11" t="s">
        <v>3470</v>
      </c>
    </row>
    <row r="12" spans="1:8">
      <c r="A12" t="s">
        <v>3471</v>
      </c>
      <c r="B12" s="27" t="s">
        <v>4362</v>
      </c>
      <c r="C12" s="26" t="s">
        <v>4200</v>
      </c>
      <c r="D12" t="s">
        <v>557</v>
      </c>
      <c r="E12" t="s">
        <v>3472</v>
      </c>
      <c r="G12" t="s">
        <v>3473</v>
      </c>
    </row>
    <row r="13" spans="1:8">
      <c r="A13" t="s">
        <v>3474</v>
      </c>
      <c r="B13" s="27" t="s">
        <v>4214</v>
      </c>
      <c r="C13" s="26" t="s">
        <v>4212</v>
      </c>
      <c r="D13" t="s">
        <v>557</v>
      </c>
      <c r="E13" t="s">
        <v>3475</v>
      </c>
      <c r="G13" t="s">
        <v>3476</v>
      </c>
    </row>
    <row r="14" spans="1:8">
      <c r="A14" t="s">
        <v>3477</v>
      </c>
      <c r="B14" s="27" t="s">
        <v>557</v>
      </c>
      <c r="C14" s="34" t="s">
        <v>557</v>
      </c>
      <c r="D14" t="s">
        <v>557</v>
      </c>
      <c r="E14" t="s">
        <v>557</v>
      </c>
      <c r="G14" t="s">
        <v>3478</v>
      </c>
    </row>
    <row r="15" spans="1:8">
      <c r="A15" t="s">
        <v>3479</v>
      </c>
      <c r="B15" s="27" t="s">
        <v>4164</v>
      </c>
      <c r="C15" s="26" t="s">
        <v>4237</v>
      </c>
      <c r="D15" t="s">
        <v>557</v>
      </c>
      <c r="E15" t="s">
        <v>3480</v>
      </c>
      <c r="G15" t="s">
        <v>3481</v>
      </c>
    </row>
    <row r="16" spans="1:8">
      <c r="A16" t="s">
        <v>3482</v>
      </c>
      <c r="B16" s="27">
        <v>23</v>
      </c>
      <c r="C16" s="26" t="s">
        <v>4240</v>
      </c>
      <c r="D16" t="s">
        <v>557</v>
      </c>
      <c r="E16" t="s">
        <v>3176</v>
      </c>
      <c r="G16" t="s">
        <v>3483</v>
      </c>
    </row>
    <row r="17" spans="1:8">
      <c r="A17" t="s">
        <v>3484</v>
      </c>
      <c r="B17" s="27" t="s">
        <v>4373</v>
      </c>
      <c r="C17" s="26" t="s">
        <v>557</v>
      </c>
      <c r="D17" t="s">
        <v>557</v>
      </c>
      <c r="E17" t="s">
        <v>3485</v>
      </c>
      <c r="G17" t="s">
        <v>3486</v>
      </c>
    </row>
    <row r="18" spans="1:8">
      <c r="A18" t="s">
        <v>3487</v>
      </c>
      <c r="B18" s="27" t="s">
        <v>4363</v>
      </c>
      <c r="C18" s="26" t="s">
        <v>4245</v>
      </c>
      <c r="D18" t="s">
        <v>557</v>
      </c>
      <c r="E18" t="s">
        <v>3488</v>
      </c>
      <c r="G18" t="s">
        <v>3489</v>
      </c>
    </row>
    <row r="19" spans="1:8">
      <c r="A19" t="s">
        <v>3490</v>
      </c>
      <c r="B19" s="27" t="s">
        <v>4364</v>
      </c>
      <c r="C19" s="26" t="s">
        <v>4258</v>
      </c>
      <c r="D19" t="s">
        <v>557</v>
      </c>
      <c r="E19" t="s">
        <v>3491</v>
      </c>
      <c r="G19" t="s">
        <v>3492</v>
      </c>
    </row>
    <row r="20" spans="1:8">
      <c r="A20" t="s">
        <v>3493</v>
      </c>
      <c r="B20" s="27" t="s">
        <v>4365</v>
      </c>
      <c r="C20" s="26" t="s">
        <v>4249</v>
      </c>
      <c r="D20" t="s">
        <v>557</v>
      </c>
      <c r="E20" t="s">
        <v>3166</v>
      </c>
      <c r="G20" t="s">
        <v>3494</v>
      </c>
    </row>
    <row r="21" spans="1:8">
      <c r="A21" t="s">
        <v>3495</v>
      </c>
      <c r="B21" s="27">
        <v>16</v>
      </c>
      <c r="C21" s="26" t="s">
        <v>211</v>
      </c>
      <c r="D21" t="s">
        <v>557</v>
      </c>
      <c r="E21" t="s">
        <v>210</v>
      </c>
      <c r="G21" t="s">
        <v>3496</v>
      </c>
    </row>
    <row r="22" spans="1:8">
      <c r="A22" t="s">
        <v>3497</v>
      </c>
      <c r="B22" s="27" t="s">
        <v>4361</v>
      </c>
      <c r="C22" s="26" t="s">
        <v>557</v>
      </c>
      <c r="D22" t="s">
        <v>557</v>
      </c>
      <c r="E22" t="s">
        <v>557</v>
      </c>
      <c r="G22" t="s">
        <v>3498</v>
      </c>
    </row>
    <row r="23" spans="1:8">
      <c r="A23" t="s">
        <v>3499</v>
      </c>
      <c r="B23" s="27" t="s">
        <v>4366</v>
      </c>
      <c r="C23" s="26" t="s">
        <v>4329</v>
      </c>
      <c r="D23" t="s">
        <v>557</v>
      </c>
      <c r="E23" t="s">
        <v>3500</v>
      </c>
      <c r="G23" t="s">
        <v>3501</v>
      </c>
    </row>
    <row r="24" spans="1:8">
      <c r="A24" t="s">
        <v>3502</v>
      </c>
      <c r="B24" s="27" t="s">
        <v>4367</v>
      </c>
      <c r="C24" s="26" t="s">
        <v>4112</v>
      </c>
      <c r="D24" t="s">
        <v>557</v>
      </c>
      <c r="E24" t="s">
        <v>3503</v>
      </c>
      <c r="G24" t="s">
        <v>3504</v>
      </c>
    </row>
    <row r="25" spans="1:8">
      <c r="A25" t="s">
        <v>3505</v>
      </c>
      <c r="B25" s="27" t="s">
        <v>557</v>
      </c>
      <c r="C25" s="34" t="s">
        <v>557</v>
      </c>
      <c r="D25" t="s">
        <v>557</v>
      </c>
      <c r="E25" t="s">
        <v>557</v>
      </c>
      <c r="G25" t="s">
        <v>3506</v>
      </c>
    </row>
    <row r="26" spans="1:8">
      <c r="A26" t="s">
        <v>3507</v>
      </c>
      <c r="B26" s="27" t="s">
        <v>3958</v>
      </c>
      <c r="C26" s="26" t="s">
        <v>66</v>
      </c>
      <c r="D26" t="s">
        <v>557</v>
      </c>
      <c r="E26" t="s">
        <v>65</v>
      </c>
      <c r="G26" t="s">
        <v>3508</v>
      </c>
    </row>
    <row r="27" spans="1:8">
      <c r="A27" t="s">
        <v>3509</v>
      </c>
      <c r="B27" s="27" t="s">
        <v>543</v>
      </c>
      <c r="C27" s="26" t="s">
        <v>543</v>
      </c>
      <c r="D27" t="s">
        <v>557</v>
      </c>
      <c r="E27" s="11" t="s">
        <v>543</v>
      </c>
      <c r="F27" s="11"/>
      <c r="G27" t="s">
        <v>3510</v>
      </c>
    </row>
    <row r="28" spans="1:8">
      <c r="A28" t="s">
        <v>3511</v>
      </c>
      <c r="B28" s="27" t="s">
        <v>557</v>
      </c>
      <c r="C28" s="26" t="s">
        <v>557</v>
      </c>
      <c r="D28" t="s">
        <v>557</v>
      </c>
      <c r="E28" t="s">
        <v>3503</v>
      </c>
      <c r="G28" t="s">
        <v>3512</v>
      </c>
      <c r="H28" t="s">
        <v>3513</v>
      </c>
    </row>
    <row r="29" spans="1:8">
      <c r="A29" t="s">
        <v>3514</v>
      </c>
      <c r="B29" s="27">
        <v>84</v>
      </c>
      <c r="C29" s="26" t="s">
        <v>513</v>
      </c>
      <c r="D29" t="s">
        <v>557</v>
      </c>
      <c r="E29" t="s">
        <v>512</v>
      </c>
      <c r="G29" t="s">
        <v>3515</v>
      </c>
    </row>
    <row r="30" spans="1:8">
      <c r="A30" t="s">
        <v>3516</v>
      </c>
      <c r="B30" s="27">
        <v>51</v>
      </c>
      <c r="C30" s="26" t="s">
        <v>450</v>
      </c>
      <c r="D30" t="s">
        <v>557</v>
      </c>
      <c r="E30" t="s">
        <v>449</v>
      </c>
      <c r="G30" t="s">
        <v>3517</v>
      </c>
    </row>
    <row r="31" spans="1:8">
      <c r="A31" t="s">
        <v>3518</v>
      </c>
      <c r="B31" s="27">
        <v>50</v>
      </c>
      <c r="C31" s="26" t="s">
        <v>447</v>
      </c>
      <c r="D31" t="s">
        <v>557</v>
      </c>
      <c r="E31" t="s">
        <v>446</v>
      </c>
      <c r="G31" t="s">
        <v>3519</v>
      </c>
    </row>
    <row r="32" spans="1:8">
      <c r="A32" t="s">
        <v>3520</v>
      </c>
      <c r="B32" s="27" t="s">
        <v>557</v>
      </c>
      <c r="C32" s="26" t="s">
        <v>557</v>
      </c>
      <c r="D32" t="s">
        <v>557</v>
      </c>
      <c r="E32" t="s">
        <v>557</v>
      </c>
      <c r="G32" t="s">
        <v>3521</v>
      </c>
    </row>
    <row r="33" spans="1:8">
      <c r="A33" t="s">
        <v>3522</v>
      </c>
      <c r="B33" s="27" t="s">
        <v>557</v>
      </c>
      <c r="C33" s="26" t="s">
        <v>444</v>
      </c>
      <c r="D33" t="s">
        <v>557</v>
      </c>
      <c r="E33" t="s">
        <v>443</v>
      </c>
      <c r="G33" t="s">
        <v>3523</v>
      </c>
    </row>
    <row r="34" spans="1:8">
      <c r="A34" t="s">
        <v>3524</v>
      </c>
      <c r="B34" s="27" t="s">
        <v>4256</v>
      </c>
      <c r="C34" s="26" t="s">
        <v>444</v>
      </c>
      <c r="D34" t="s">
        <v>557</v>
      </c>
      <c r="E34" t="s">
        <v>443</v>
      </c>
      <c r="G34" t="s">
        <v>3525</v>
      </c>
    </row>
    <row r="35" spans="1:8">
      <c r="A35" t="s">
        <v>3526</v>
      </c>
      <c r="B35" s="27" t="s">
        <v>4256</v>
      </c>
      <c r="C35" s="26" t="s">
        <v>444</v>
      </c>
      <c r="D35" t="s">
        <v>557</v>
      </c>
      <c r="E35" t="s">
        <v>443</v>
      </c>
      <c r="G35" t="s">
        <v>3527</v>
      </c>
    </row>
    <row r="36" spans="1:8">
      <c r="A36" t="s">
        <v>3528</v>
      </c>
      <c r="B36" s="27" t="s">
        <v>4271</v>
      </c>
      <c r="C36" s="26" t="s">
        <v>444</v>
      </c>
      <c r="D36" t="s">
        <v>557</v>
      </c>
      <c r="E36" t="s">
        <v>443</v>
      </c>
      <c r="G36" t="s">
        <v>3529</v>
      </c>
    </row>
    <row r="37" spans="1:8">
      <c r="A37" t="s">
        <v>3530</v>
      </c>
      <c r="B37" s="27" t="s">
        <v>4256</v>
      </c>
      <c r="C37" s="26" t="s">
        <v>444</v>
      </c>
      <c r="D37" t="s">
        <v>557</v>
      </c>
      <c r="E37" t="s">
        <v>3531</v>
      </c>
      <c r="G37" t="s">
        <v>3532</v>
      </c>
      <c r="H37" t="s">
        <v>3533</v>
      </c>
    </row>
    <row r="38" spans="1:8">
      <c r="A38" t="s">
        <v>3534</v>
      </c>
      <c r="B38" s="27" t="s">
        <v>557</v>
      </c>
      <c r="C38" s="34" t="s">
        <v>557</v>
      </c>
      <c r="D38" t="s">
        <v>557</v>
      </c>
      <c r="E38" t="s">
        <v>557</v>
      </c>
      <c r="G38" t="s">
        <v>3535</v>
      </c>
    </row>
    <row r="39" spans="1:8">
      <c r="A39" t="s">
        <v>3536</v>
      </c>
      <c r="B39" s="27" t="s">
        <v>557</v>
      </c>
      <c r="C39" s="34" t="s">
        <v>557</v>
      </c>
      <c r="D39" t="s">
        <v>557</v>
      </c>
      <c r="E39" t="s">
        <v>557</v>
      </c>
      <c r="G39" t="s">
        <v>3537</v>
      </c>
    </row>
    <row r="40" spans="1:8">
      <c r="A40" t="s">
        <v>3538</v>
      </c>
      <c r="B40" s="27" t="s">
        <v>557</v>
      </c>
      <c r="C40" s="34" t="s">
        <v>557</v>
      </c>
      <c r="D40" t="s">
        <v>557</v>
      </c>
      <c r="E40" t="s">
        <v>557</v>
      </c>
      <c r="G40" t="s">
        <v>3539</v>
      </c>
    </row>
    <row r="41" spans="1:8">
      <c r="A41" t="s">
        <v>3540</v>
      </c>
      <c r="B41" s="27" t="s">
        <v>557</v>
      </c>
      <c r="C41" s="34" t="s">
        <v>557</v>
      </c>
      <c r="D41" t="s">
        <v>557</v>
      </c>
      <c r="E41" t="s">
        <v>557</v>
      </c>
      <c r="G41" t="s">
        <v>3541</v>
      </c>
    </row>
    <row r="42" spans="1:8">
      <c r="A42" t="s">
        <v>3542</v>
      </c>
      <c r="B42" s="27" t="s">
        <v>557</v>
      </c>
      <c r="C42" s="34" t="s">
        <v>557</v>
      </c>
      <c r="D42" t="s">
        <v>557</v>
      </c>
      <c r="E42" t="s">
        <v>557</v>
      </c>
      <c r="G42" t="s">
        <v>3543</v>
      </c>
    </row>
    <row r="43" spans="1:8">
      <c r="A43" t="s">
        <v>3544</v>
      </c>
      <c r="B43" s="27" t="s">
        <v>557</v>
      </c>
      <c r="C43" s="34" t="s">
        <v>557</v>
      </c>
      <c r="D43" t="s">
        <v>557</v>
      </c>
      <c r="E43" t="s">
        <v>557</v>
      </c>
      <c r="G43" t="s">
        <v>3545</v>
      </c>
    </row>
    <row r="44" spans="1:8">
      <c r="A44" t="s">
        <v>3546</v>
      </c>
      <c r="B44" s="27" t="s">
        <v>557</v>
      </c>
      <c r="C44" s="34" t="s">
        <v>557</v>
      </c>
      <c r="D44" t="s">
        <v>557</v>
      </c>
      <c r="E44" t="s">
        <v>557</v>
      </c>
      <c r="G44" t="s">
        <v>3547</v>
      </c>
    </row>
    <row r="45" spans="1:8">
      <c r="A45" t="s">
        <v>3548</v>
      </c>
      <c r="B45" s="27" t="s">
        <v>557</v>
      </c>
      <c r="C45" s="34" t="s">
        <v>557</v>
      </c>
      <c r="D45" t="s">
        <v>557</v>
      </c>
      <c r="E45" t="s">
        <v>557</v>
      </c>
      <c r="G45" t="s">
        <v>3549</v>
      </c>
    </row>
    <row r="46" spans="1:8">
      <c r="A46" t="s">
        <v>3550</v>
      </c>
      <c r="B46" s="27" t="s">
        <v>557</v>
      </c>
      <c r="C46" s="34" t="s">
        <v>557</v>
      </c>
      <c r="D46" t="s">
        <v>557</v>
      </c>
      <c r="E46" t="s">
        <v>557</v>
      </c>
      <c r="G46" t="s">
        <v>3551</v>
      </c>
    </row>
    <row r="47" spans="1:8">
      <c r="A47" t="s">
        <v>3552</v>
      </c>
      <c r="B47" s="27" t="s">
        <v>557</v>
      </c>
      <c r="C47" s="34" t="s">
        <v>557</v>
      </c>
      <c r="D47" t="s">
        <v>557</v>
      </c>
      <c r="E47" t="s">
        <v>557</v>
      </c>
      <c r="G47" t="s">
        <v>3553</v>
      </c>
    </row>
    <row r="48" spans="1:8">
      <c r="A48" t="s">
        <v>3554</v>
      </c>
      <c r="B48" s="27" t="s">
        <v>557</v>
      </c>
      <c r="C48" s="34" t="s">
        <v>557</v>
      </c>
      <c r="D48" t="s">
        <v>557</v>
      </c>
      <c r="E48" t="s">
        <v>557</v>
      </c>
      <c r="G48" t="s">
        <v>3555</v>
      </c>
    </row>
    <row r="49" spans="1:8">
      <c r="A49" t="s">
        <v>3556</v>
      </c>
      <c r="B49" s="27" t="s">
        <v>557</v>
      </c>
      <c r="C49" s="34" t="s">
        <v>557</v>
      </c>
      <c r="D49" t="s">
        <v>557</v>
      </c>
      <c r="E49" t="s">
        <v>557</v>
      </c>
      <c r="G49" t="s">
        <v>3557</v>
      </c>
    </row>
    <row r="50" spans="1:8">
      <c r="A50" t="s">
        <v>3558</v>
      </c>
      <c r="B50" s="27" t="s">
        <v>557</v>
      </c>
      <c r="C50" s="34" t="s">
        <v>557</v>
      </c>
      <c r="D50" t="s">
        <v>557</v>
      </c>
      <c r="E50" t="s">
        <v>557</v>
      </c>
      <c r="G50" t="s">
        <v>3559</v>
      </c>
    </row>
    <row r="51" spans="1:8">
      <c r="A51" t="s">
        <v>3560</v>
      </c>
      <c r="B51" s="27" t="s">
        <v>557</v>
      </c>
      <c r="C51" s="34" t="s">
        <v>557</v>
      </c>
      <c r="D51" t="s">
        <v>557</v>
      </c>
      <c r="E51" t="s">
        <v>557</v>
      </c>
      <c r="G51" t="s">
        <v>3561</v>
      </c>
    </row>
    <row r="52" spans="1:8">
      <c r="A52" t="s">
        <v>3562</v>
      </c>
      <c r="B52" s="27" t="s">
        <v>3562</v>
      </c>
      <c r="C52" s="26" t="s">
        <v>3562</v>
      </c>
      <c r="D52" t="s">
        <v>3562</v>
      </c>
      <c r="E52" s="11" t="s">
        <v>3562</v>
      </c>
      <c r="F52" s="11"/>
      <c r="G52" t="s">
        <v>3563</v>
      </c>
    </row>
    <row r="53" spans="1:8" ht="14.4" customHeight="1">
      <c r="A53" t="s">
        <v>3564</v>
      </c>
      <c r="B53" s="27" t="s">
        <v>4104</v>
      </c>
      <c r="C53" s="26" t="s">
        <v>555</v>
      </c>
      <c r="D53" t="s">
        <v>555</v>
      </c>
      <c r="E53" s="11" t="s">
        <v>555</v>
      </c>
      <c r="F53" s="11"/>
      <c r="G53" t="s">
        <v>3565</v>
      </c>
      <c r="H53" s="13" t="s">
        <v>3566</v>
      </c>
    </row>
    <row r="54" spans="1:8">
      <c r="A54" t="s">
        <v>3567</v>
      </c>
      <c r="B54" s="27" t="s">
        <v>4107</v>
      </c>
      <c r="C54" s="26" t="s">
        <v>555</v>
      </c>
      <c r="D54" t="s">
        <v>555</v>
      </c>
      <c r="E54" s="11" t="s">
        <v>555</v>
      </c>
      <c r="F54" s="11"/>
      <c r="G54" t="s">
        <v>3568</v>
      </c>
    </row>
    <row r="55" spans="1:8">
      <c r="A55" t="s">
        <v>3569</v>
      </c>
      <c r="B55" s="27" t="s">
        <v>4131</v>
      </c>
      <c r="C55" s="26" t="s">
        <v>4129</v>
      </c>
      <c r="D55" t="s">
        <v>557</v>
      </c>
      <c r="E55" t="s">
        <v>3469</v>
      </c>
      <c r="G55" t="s">
        <v>3570</v>
      </c>
    </row>
    <row r="56" spans="1:8">
      <c r="A56" t="s">
        <v>3571</v>
      </c>
      <c r="B56" s="27">
        <v>35.200000000000003</v>
      </c>
      <c r="C56" s="26" t="s">
        <v>4122</v>
      </c>
      <c r="D56" t="s">
        <v>557</v>
      </c>
      <c r="E56" t="s">
        <v>419</v>
      </c>
      <c r="G56" t="s">
        <v>3572</v>
      </c>
    </row>
    <row r="57" spans="1:8">
      <c r="A57" t="s">
        <v>3573</v>
      </c>
      <c r="B57" s="27">
        <v>19.2</v>
      </c>
      <c r="C57" s="26" t="s">
        <v>750</v>
      </c>
      <c r="D57" t="s">
        <v>557</v>
      </c>
      <c r="E57" t="s">
        <v>226</v>
      </c>
      <c r="G57" t="s">
        <v>3574</v>
      </c>
    </row>
    <row r="58" spans="1:8">
      <c r="A58" t="s">
        <v>3575</v>
      </c>
      <c r="B58" s="27">
        <v>19.2</v>
      </c>
      <c r="C58" s="26" t="s">
        <v>4133</v>
      </c>
      <c r="D58" t="s">
        <v>557</v>
      </c>
      <c r="E58" t="s">
        <v>226</v>
      </c>
      <c r="G58" t="s">
        <v>3576</v>
      </c>
    </row>
    <row r="59" spans="1:8">
      <c r="A59" t="s">
        <v>3577</v>
      </c>
      <c r="B59" s="27" t="s">
        <v>1674</v>
      </c>
      <c r="C59" s="26" t="s">
        <v>3148</v>
      </c>
      <c r="D59" t="s">
        <v>557</v>
      </c>
      <c r="E59" t="s">
        <v>3578</v>
      </c>
      <c r="G59" t="s">
        <v>3579</v>
      </c>
    </row>
    <row r="60" spans="1:8">
      <c r="A60" t="s">
        <v>3580</v>
      </c>
      <c r="B60" s="27">
        <v>19.100000000000001</v>
      </c>
      <c r="C60" s="26" t="s">
        <v>224</v>
      </c>
      <c r="D60" t="s">
        <v>557</v>
      </c>
      <c r="E60" t="s">
        <v>223</v>
      </c>
      <c r="G60" t="s">
        <v>3581</v>
      </c>
    </row>
    <row r="61" spans="1:8">
      <c r="A61" t="s">
        <v>3582</v>
      </c>
      <c r="B61" s="27">
        <v>19.2</v>
      </c>
      <c r="C61" s="26" t="s">
        <v>4133</v>
      </c>
      <c r="D61" t="s">
        <v>557</v>
      </c>
      <c r="E61" t="s">
        <v>226</v>
      </c>
      <c r="G61" t="s">
        <v>3583</v>
      </c>
    </row>
    <row r="62" spans="1:8">
      <c r="A62" t="s">
        <v>3584</v>
      </c>
      <c r="B62" s="27" t="s">
        <v>557</v>
      </c>
      <c r="C62" s="26" t="s">
        <v>557</v>
      </c>
      <c r="D62" t="s">
        <v>557</v>
      </c>
      <c r="E62" t="s">
        <v>557</v>
      </c>
      <c r="G62" t="s">
        <v>3585</v>
      </c>
    </row>
    <row r="63" spans="1:8">
      <c r="A63" t="s">
        <v>3586</v>
      </c>
      <c r="B63" s="27">
        <v>35.1</v>
      </c>
      <c r="C63" s="26" t="s">
        <v>852</v>
      </c>
      <c r="D63" t="s">
        <v>557</v>
      </c>
      <c r="E63" t="s">
        <v>416</v>
      </c>
      <c r="G63" t="s">
        <v>3587</v>
      </c>
    </row>
    <row r="64" spans="1:8">
      <c r="A64" t="s">
        <v>3588</v>
      </c>
      <c r="B64" s="27">
        <v>19.2</v>
      </c>
      <c r="C64" s="26" t="s">
        <v>4133</v>
      </c>
      <c r="D64" t="s">
        <v>557</v>
      </c>
      <c r="E64" t="s">
        <v>226</v>
      </c>
      <c r="G64" t="s">
        <v>3589</v>
      </c>
    </row>
    <row r="65" spans="1:8">
      <c r="A65" t="s">
        <v>3590</v>
      </c>
      <c r="B65" s="27">
        <v>35.200000000000003</v>
      </c>
      <c r="C65" s="26" t="s">
        <v>875</v>
      </c>
      <c r="D65" t="s">
        <v>557</v>
      </c>
      <c r="E65" t="s">
        <v>419</v>
      </c>
      <c r="G65" t="s">
        <v>3591</v>
      </c>
    </row>
    <row r="66" spans="1:8">
      <c r="A66" t="s">
        <v>3592</v>
      </c>
      <c r="B66" s="27">
        <v>19.2</v>
      </c>
      <c r="C66" s="26" t="s">
        <v>4133</v>
      </c>
      <c r="D66" t="s">
        <v>557</v>
      </c>
      <c r="E66" t="s">
        <v>226</v>
      </c>
      <c r="G66" t="s">
        <v>3593</v>
      </c>
    </row>
    <row r="67" spans="1:8">
      <c r="A67" t="s">
        <v>3594</v>
      </c>
      <c r="B67" s="27" t="s">
        <v>557</v>
      </c>
      <c r="C67" s="34" t="s">
        <v>557</v>
      </c>
      <c r="D67" t="s">
        <v>557</v>
      </c>
      <c r="E67" t="s">
        <v>557</v>
      </c>
      <c r="G67" t="s">
        <v>3595</v>
      </c>
    </row>
    <row r="68" spans="1:8">
      <c r="A68" t="s">
        <v>3596</v>
      </c>
      <c r="B68" s="27" t="s">
        <v>4164</v>
      </c>
      <c r="C68" s="26" t="s">
        <v>333</v>
      </c>
      <c r="D68" t="s">
        <v>557</v>
      </c>
      <c r="E68" t="s">
        <v>332</v>
      </c>
      <c r="G68" t="s">
        <v>3597</v>
      </c>
      <c r="H68" t="s">
        <v>3598</v>
      </c>
    </row>
    <row r="69" spans="1:8">
      <c r="A69" t="s">
        <v>3599</v>
      </c>
      <c r="B69" s="27">
        <v>35.1</v>
      </c>
      <c r="C69" s="26" t="s">
        <v>4553</v>
      </c>
      <c r="D69" t="s">
        <v>557</v>
      </c>
      <c r="E69" t="s">
        <v>416</v>
      </c>
      <c r="G69" t="s">
        <v>3600</v>
      </c>
    </row>
    <row r="70" spans="1:8">
      <c r="A70" t="s">
        <v>3601</v>
      </c>
      <c r="B70" s="27" t="s">
        <v>1677</v>
      </c>
      <c r="C70" s="26" t="s">
        <v>4166</v>
      </c>
      <c r="D70" t="s">
        <v>557</v>
      </c>
      <c r="E70" t="s">
        <v>3602</v>
      </c>
      <c r="G70" t="s">
        <v>3603</v>
      </c>
    </row>
    <row r="71" spans="1:8">
      <c r="A71" t="s">
        <v>3604</v>
      </c>
      <c r="B71" s="27">
        <v>19.2</v>
      </c>
      <c r="C71" s="26" t="s">
        <v>750</v>
      </c>
      <c r="D71" t="s">
        <v>557</v>
      </c>
      <c r="E71" t="s">
        <v>226</v>
      </c>
      <c r="G71" t="s">
        <v>3605</v>
      </c>
    </row>
    <row r="72" spans="1:8">
      <c r="A72" t="s">
        <v>3606</v>
      </c>
      <c r="B72" s="27">
        <v>19.2</v>
      </c>
      <c r="C72" s="26" t="s">
        <v>4133</v>
      </c>
      <c r="D72" t="s">
        <v>557</v>
      </c>
      <c r="E72" t="s">
        <v>226</v>
      </c>
      <c r="G72" t="s">
        <v>3607</v>
      </c>
    </row>
    <row r="73" spans="1:8">
      <c r="A73" t="s">
        <v>3608</v>
      </c>
      <c r="B73" s="27" t="s">
        <v>557</v>
      </c>
      <c r="C73" s="26" t="s">
        <v>557</v>
      </c>
      <c r="D73" t="s">
        <v>557</v>
      </c>
      <c r="E73" t="s">
        <v>557</v>
      </c>
      <c r="G73" t="s">
        <v>3609</v>
      </c>
    </row>
    <row r="74" spans="1:8">
      <c r="A74" t="s">
        <v>3610</v>
      </c>
      <c r="B74" s="27" t="s">
        <v>557</v>
      </c>
      <c r="C74" s="34" t="s">
        <v>557</v>
      </c>
      <c r="D74" t="s">
        <v>557</v>
      </c>
      <c r="E74" t="s">
        <v>557</v>
      </c>
      <c r="G74" t="s">
        <v>3611</v>
      </c>
    </row>
    <row r="75" spans="1:8">
      <c r="A75" t="s">
        <v>3612</v>
      </c>
      <c r="B75" s="27" t="s">
        <v>553</v>
      </c>
      <c r="C75" s="26" t="s">
        <v>553</v>
      </c>
      <c r="D75" t="s">
        <v>553</v>
      </c>
      <c r="E75" s="11" t="s">
        <v>553</v>
      </c>
      <c r="F75" s="11"/>
      <c r="G75" t="s">
        <v>3613</v>
      </c>
    </row>
    <row r="76" spans="1:8">
      <c r="A76" t="s">
        <v>3614</v>
      </c>
      <c r="B76" s="27" t="s">
        <v>553</v>
      </c>
      <c r="C76" s="34" t="s">
        <v>557</v>
      </c>
      <c r="D76" t="s">
        <v>553</v>
      </c>
      <c r="E76" s="11" t="s">
        <v>553</v>
      </c>
      <c r="F76" s="11"/>
      <c r="G76" t="s">
        <v>3615</v>
      </c>
    </row>
    <row r="77" spans="1:8">
      <c r="A77" t="s">
        <v>3616</v>
      </c>
      <c r="B77" s="27" t="s">
        <v>557</v>
      </c>
      <c r="C77" s="26" t="s">
        <v>551</v>
      </c>
      <c r="D77" t="s">
        <v>4330</v>
      </c>
      <c r="E77" t="s">
        <v>3617</v>
      </c>
      <c r="G77" t="s">
        <v>3618</v>
      </c>
    </row>
    <row r="78" spans="1:8">
      <c r="A78" t="s">
        <v>3619</v>
      </c>
      <c r="B78" s="27" t="s">
        <v>4370</v>
      </c>
      <c r="C78" s="26" t="s">
        <v>551</v>
      </c>
      <c r="D78" t="s">
        <v>557</v>
      </c>
      <c r="E78" s="11" t="s">
        <v>3620</v>
      </c>
      <c r="F78" s="11"/>
      <c r="G78" t="s">
        <v>3621</v>
      </c>
    </row>
    <row r="79" spans="1:8">
      <c r="A79" t="s">
        <v>3622</v>
      </c>
      <c r="B79" s="27" t="s">
        <v>4131</v>
      </c>
      <c r="C79" s="26" t="s">
        <v>4129</v>
      </c>
      <c r="D79" t="s">
        <v>557</v>
      </c>
      <c r="E79" t="s">
        <v>3469</v>
      </c>
      <c r="G79" t="s">
        <v>3623</v>
      </c>
    </row>
    <row r="80" spans="1:8">
      <c r="A80" t="s">
        <v>3624</v>
      </c>
      <c r="B80" s="27">
        <v>19.2</v>
      </c>
      <c r="C80" s="26" t="s">
        <v>750</v>
      </c>
      <c r="D80" t="s">
        <v>557</v>
      </c>
      <c r="E80" t="s">
        <v>226</v>
      </c>
      <c r="G80" t="s">
        <v>3625</v>
      </c>
    </row>
    <row r="81" spans="1:8">
      <c r="A81" t="s">
        <v>3626</v>
      </c>
      <c r="B81" s="27">
        <v>35.200000000000003</v>
      </c>
      <c r="C81" s="26" t="s">
        <v>875</v>
      </c>
      <c r="D81" t="s">
        <v>557</v>
      </c>
      <c r="E81" t="s">
        <v>419</v>
      </c>
      <c r="G81" t="s">
        <v>3627</v>
      </c>
    </row>
    <row r="82" spans="1:8">
      <c r="A82" t="s">
        <v>3628</v>
      </c>
      <c r="B82" s="27">
        <v>19.2</v>
      </c>
      <c r="C82" s="26" t="s">
        <v>4133</v>
      </c>
      <c r="D82" t="s">
        <v>557</v>
      </c>
      <c r="E82" t="s">
        <v>226</v>
      </c>
      <c r="G82" t="s">
        <v>3629</v>
      </c>
    </row>
    <row r="83" spans="1:8">
      <c r="A83" t="s">
        <v>3630</v>
      </c>
      <c r="B83" s="27">
        <v>19.100000000000001</v>
      </c>
      <c r="C83" s="26" t="s">
        <v>224</v>
      </c>
      <c r="D83" t="s">
        <v>557</v>
      </c>
      <c r="E83" t="s">
        <v>223</v>
      </c>
      <c r="G83" t="s">
        <v>3631</v>
      </c>
    </row>
    <row r="84" spans="1:8">
      <c r="A84" t="s">
        <v>3632</v>
      </c>
      <c r="B84" s="27">
        <v>19.2</v>
      </c>
      <c r="C84" s="26" t="s">
        <v>4133</v>
      </c>
      <c r="D84" t="s">
        <v>557</v>
      </c>
      <c r="E84" t="s">
        <v>226</v>
      </c>
      <c r="G84" t="s">
        <v>3633</v>
      </c>
    </row>
    <row r="85" spans="1:8">
      <c r="A85" t="s">
        <v>3634</v>
      </c>
      <c r="B85" s="27" t="s">
        <v>557</v>
      </c>
      <c r="C85" s="26" t="s">
        <v>557</v>
      </c>
      <c r="D85" t="s">
        <v>557</v>
      </c>
      <c r="E85" t="s">
        <v>557</v>
      </c>
      <c r="G85" t="s">
        <v>3635</v>
      </c>
    </row>
    <row r="86" spans="1:8">
      <c r="A86" t="s">
        <v>3636</v>
      </c>
      <c r="B86" s="27" t="s">
        <v>4372</v>
      </c>
      <c r="C86" s="26" t="s">
        <v>4552</v>
      </c>
      <c r="D86" t="s">
        <v>557</v>
      </c>
      <c r="E86" t="s">
        <v>3637</v>
      </c>
      <c r="G86" t="s">
        <v>3638</v>
      </c>
      <c r="H86" s="11" t="s">
        <v>4371</v>
      </c>
    </row>
    <row r="87" spans="1:8">
      <c r="A87" t="s">
        <v>3639</v>
      </c>
      <c r="B87" s="27">
        <v>35.1</v>
      </c>
      <c r="C87" s="26" t="s">
        <v>852</v>
      </c>
      <c r="D87" t="s">
        <v>557</v>
      </c>
      <c r="E87" t="s">
        <v>416</v>
      </c>
      <c r="G87" t="s">
        <v>3640</v>
      </c>
    </row>
    <row r="88" spans="1:8">
      <c r="A88" t="s">
        <v>3641</v>
      </c>
      <c r="B88" s="27">
        <v>35.299999999999997</v>
      </c>
      <c r="C88" s="26" t="s">
        <v>3931</v>
      </c>
      <c r="D88" t="s">
        <v>557</v>
      </c>
      <c r="E88" t="s">
        <v>422</v>
      </c>
      <c r="G88" t="s">
        <v>3642</v>
      </c>
    </row>
    <row r="89" spans="1:8">
      <c r="A89" t="s">
        <v>3643</v>
      </c>
      <c r="B89" s="27">
        <v>35.1</v>
      </c>
      <c r="C89" s="26" t="s">
        <v>852</v>
      </c>
      <c r="D89" t="s">
        <v>557</v>
      </c>
      <c r="E89" t="s">
        <v>416</v>
      </c>
      <c r="G89" t="s">
        <v>3644</v>
      </c>
    </row>
    <row r="90" spans="1:8">
      <c r="A90" t="s">
        <v>3645</v>
      </c>
      <c r="B90" s="27">
        <v>35.1</v>
      </c>
      <c r="C90" s="34" t="s">
        <v>557</v>
      </c>
      <c r="D90" t="s">
        <v>557</v>
      </c>
      <c r="E90" t="s">
        <v>416</v>
      </c>
      <c r="G90" t="s">
        <v>3646</v>
      </c>
      <c r="H90" t="s">
        <v>3647</v>
      </c>
    </row>
    <row r="91" spans="1:8">
      <c r="A91" t="s">
        <v>3648</v>
      </c>
      <c r="B91" s="27" t="s">
        <v>557</v>
      </c>
      <c r="C91" s="34" t="s">
        <v>557</v>
      </c>
      <c r="D91" t="s">
        <v>557</v>
      </c>
      <c r="E91" t="s">
        <v>557</v>
      </c>
      <c r="G91" t="s">
        <v>3649</v>
      </c>
    </row>
    <row r="92" spans="1:8">
      <c r="A92" t="s">
        <v>3650</v>
      </c>
      <c r="B92" s="27">
        <v>35.299999999999997</v>
      </c>
      <c r="C92" s="26" t="s">
        <v>852</v>
      </c>
      <c r="D92" t="s">
        <v>557</v>
      </c>
      <c r="E92" t="s">
        <v>422</v>
      </c>
      <c r="G92" t="s">
        <v>3651</v>
      </c>
    </row>
    <row r="93" spans="1:8">
      <c r="A93" t="s">
        <v>3652</v>
      </c>
      <c r="B93" s="27">
        <v>35.299999999999997</v>
      </c>
      <c r="C93" s="26" t="s">
        <v>4048</v>
      </c>
      <c r="D93" t="s">
        <v>557</v>
      </c>
      <c r="E93" t="s">
        <v>422</v>
      </c>
      <c r="G93" t="s">
        <v>3653</v>
      </c>
    </row>
    <row r="94" spans="1:8">
      <c r="A94" t="s">
        <v>3654</v>
      </c>
      <c r="B94" s="27">
        <v>35.1</v>
      </c>
      <c r="C94" s="34" t="s">
        <v>557</v>
      </c>
      <c r="D94" t="s">
        <v>557</v>
      </c>
      <c r="E94" t="s">
        <v>416</v>
      </c>
      <c r="G94" t="s">
        <v>3655</v>
      </c>
    </row>
    <row r="95" spans="1:8">
      <c r="A95" t="s">
        <v>3656</v>
      </c>
      <c r="B95" s="27" t="s">
        <v>4372</v>
      </c>
      <c r="C95" s="26" t="s">
        <v>4552</v>
      </c>
      <c r="D95" t="s">
        <v>557</v>
      </c>
      <c r="E95" t="s">
        <v>3637</v>
      </c>
      <c r="G95" t="s">
        <v>3657</v>
      </c>
      <c r="H95" s="11" t="s">
        <v>4371</v>
      </c>
    </row>
    <row r="96" spans="1:8">
      <c r="A96" t="s">
        <v>3658</v>
      </c>
      <c r="B96" s="27">
        <v>35.1</v>
      </c>
      <c r="C96" s="26" t="s">
        <v>852</v>
      </c>
      <c r="D96" t="s">
        <v>557</v>
      </c>
      <c r="E96" t="s">
        <v>416</v>
      </c>
      <c r="G96" t="s">
        <v>3659</v>
      </c>
    </row>
    <row r="97" spans="1:8">
      <c r="A97" t="s">
        <v>3660</v>
      </c>
      <c r="B97" s="27">
        <v>35.299999999999997</v>
      </c>
      <c r="C97" s="26" t="s">
        <v>3931</v>
      </c>
      <c r="D97" t="s">
        <v>557</v>
      </c>
      <c r="E97" t="s">
        <v>422</v>
      </c>
      <c r="G97" t="s">
        <v>3661</v>
      </c>
    </row>
    <row r="98" spans="1:8">
      <c r="A98" t="s">
        <v>3662</v>
      </c>
      <c r="B98" s="27">
        <v>19.2</v>
      </c>
      <c r="C98" s="26" t="s">
        <v>4133</v>
      </c>
      <c r="D98" t="s">
        <v>557</v>
      </c>
      <c r="E98" t="s">
        <v>226</v>
      </c>
      <c r="G98" t="s">
        <v>3663</v>
      </c>
    </row>
    <row r="99" spans="1:8">
      <c r="A99" t="s">
        <v>3664</v>
      </c>
      <c r="B99" s="27">
        <v>35.200000000000003</v>
      </c>
      <c r="C99" s="26" t="s">
        <v>875</v>
      </c>
      <c r="D99" t="s">
        <v>557</v>
      </c>
      <c r="E99" t="s">
        <v>419</v>
      </c>
      <c r="G99" t="s">
        <v>3665</v>
      </c>
    </row>
    <row r="100" spans="1:8">
      <c r="A100" t="s">
        <v>3666</v>
      </c>
      <c r="B100" s="27">
        <v>19.2</v>
      </c>
      <c r="C100" s="34" t="s">
        <v>557</v>
      </c>
      <c r="D100" t="s">
        <v>557</v>
      </c>
      <c r="E100" t="s">
        <v>226</v>
      </c>
      <c r="G100" t="s">
        <v>3667</v>
      </c>
    </row>
    <row r="101" spans="1:8">
      <c r="A101" t="s">
        <v>3668</v>
      </c>
      <c r="B101" s="27" t="s">
        <v>557</v>
      </c>
      <c r="C101" s="34" t="s">
        <v>557</v>
      </c>
      <c r="D101" t="s">
        <v>557</v>
      </c>
      <c r="E101" t="s">
        <v>557</v>
      </c>
      <c r="G101" t="s">
        <v>3669</v>
      </c>
    </row>
    <row r="102" spans="1:8" ht="11.25" customHeight="1">
      <c r="A102" t="s">
        <v>3670</v>
      </c>
      <c r="B102" s="27" t="s">
        <v>557</v>
      </c>
      <c r="C102" s="26" t="s">
        <v>4553</v>
      </c>
      <c r="D102" t="s">
        <v>557</v>
      </c>
      <c r="E102" t="s">
        <v>3671</v>
      </c>
      <c r="G102" t="s">
        <v>3672</v>
      </c>
      <c r="H102" t="s">
        <v>3673</v>
      </c>
    </row>
    <row r="103" spans="1:8">
      <c r="A103" t="s">
        <v>3674</v>
      </c>
      <c r="B103" s="27">
        <v>35.1</v>
      </c>
      <c r="C103" s="26" t="s">
        <v>852</v>
      </c>
      <c r="D103" t="s">
        <v>557</v>
      </c>
      <c r="E103" t="s">
        <v>416</v>
      </c>
      <c r="G103" t="s">
        <v>3675</v>
      </c>
    </row>
    <row r="104" spans="1:8">
      <c r="A104" t="s">
        <v>3676</v>
      </c>
      <c r="B104" s="27">
        <v>19.2</v>
      </c>
      <c r="C104" s="26" t="s">
        <v>750</v>
      </c>
      <c r="D104" t="s">
        <v>557</v>
      </c>
      <c r="E104" t="s">
        <v>226</v>
      </c>
      <c r="G104" t="s">
        <v>3677</v>
      </c>
    </row>
    <row r="105" spans="1:8">
      <c r="A105" t="s">
        <v>3678</v>
      </c>
      <c r="B105" s="27">
        <v>19.2</v>
      </c>
      <c r="C105" s="34" t="s">
        <v>557</v>
      </c>
      <c r="D105" t="s">
        <v>557</v>
      </c>
      <c r="E105" t="s">
        <v>226</v>
      </c>
      <c r="G105" t="s">
        <v>3679</v>
      </c>
    </row>
    <row r="106" spans="1:8">
      <c r="A106" t="s">
        <v>3680</v>
      </c>
      <c r="B106" s="27">
        <v>19.2</v>
      </c>
      <c r="C106" s="34" t="s">
        <v>557</v>
      </c>
      <c r="D106" t="s">
        <v>557</v>
      </c>
      <c r="E106" t="s">
        <v>226</v>
      </c>
      <c r="G106" t="s">
        <v>3681</v>
      </c>
    </row>
    <row r="107" spans="1:8">
      <c r="A107" t="s">
        <v>3682</v>
      </c>
      <c r="B107" s="27" t="s">
        <v>557</v>
      </c>
      <c r="C107" s="34" t="s">
        <v>557</v>
      </c>
      <c r="D107" t="s">
        <v>557</v>
      </c>
      <c r="E107" t="s">
        <v>557</v>
      </c>
      <c r="G107" t="s">
        <v>3683</v>
      </c>
    </row>
    <row r="108" spans="1:8">
      <c r="A108" t="s">
        <v>3684</v>
      </c>
      <c r="B108" s="27">
        <v>19.2</v>
      </c>
      <c r="C108" s="34" t="s">
        <v>557</v>
      </c>
      <c r="D108" t="s">
        <v>557</v>
      </c>
      <c r="E108" t="s">
        <v>226</v>
      </c>
      <c r="G108" t="s">
        <v>3685</v>
      </c>
    </row>
    <row r="109" spans="1:8">
      <c r="A109" t="s">
        <v>3686</v>
      </c>
      <c r="B109" s="27" t="s">
        <v>4361</v>
      </c>
      <c r="C109" s="26" t="s">
        <v>4133</v>
      </c>
      <c r="D109" t="s">
        <v>557</v>
      </c>
      <c r="E109" t="s">
        <v>3462</v>
      </c>
      <c r="G109" t="s">
        <v>3687</v>
      </c>
    </row>
    <row r="110" spans="1:8">
      <c r="A110" t="s">
        <v>3688</v>
      </c>
      <c r="B110" s="27">
        <v>19.2</v>
      </c>
      <c r="C110" s="26" t="s">
        <v>4133</v>
      </c>
      <c r="D110" t="s">
        <v>557</v>
      </c>
      <c r="E110" t="s">
        <v>226</v>
      </c>
      <c r="G110" t="s">
        <v>3689</v>
      </c>
    </row>
    <row r="111" spans="1:8">
      <c r="A111" t="s">
        <v>3690</v>
      </c>
      <c r="B111" s="27">
        <v>19.2</v>
      </c>
      <c r="C111" s="26" t="s">
        <v>4133</v>
      </c>
      <c r="D111" t="s">
        <v>557</v>
      </c>
      <c r="E111" t="s">
        <v>226</v>
      </c>
      <c r="G111" t="s">
        <v>3691</v>
      </c>
    </row>
    <row r="112" spans="1:8">
      <c r="A112" t="s">
        <v>2954</v>
      </c>
      <c r="B112" s="27" t="s">
        <v>553</v>
      </c>
      <c r="C112" s="34" t="s">
        <v>557</v>
      </c>
      <c r="D112" t="s">
        <v>557</v>
      </c>
      <c r="E112" t="s">
        <v>557</v>
      </c>
      <c r="G112" t="s">
        <v>3692</v>
      </c>
    </row>
    <row r="113" spans="1:7">
      <c r="A113" t="s">
        <v>3693</v>
      </c>
      <c r="B113" s="27" t="s">
        <v>557</v>
      </c>
      <c r="C113" s="34" t="s">
        <v>557</v>
      </c>
      <c r="D113" s="11" t="s">
        <v>553</v>
      </c>
      <c r="E113" s="11" t="s">
        <v>553</v>
      </c>
      <c r="F113" s="11"/>
      <c r="G113" t="s">
        <v>3694</v>
      </c>
    </row>
    <row r="114" spans="1:7">
      <c r="A114" t="s">
        <v>3695</v>
      </c>
      <c r="B114" s="27" t="s">
        <v>557</v>
      </c>
      <c r="C114" s="34" t="s">
        <v>557</v>
      </c>
      <c r="D114" s="11" t="s">
        <v>553</v>
      </c>
      <c r="E114" s="11" t="s">
        <v>553</v>
      </c>
      <c r="F114" s="11"/>
      <c r="G114" t="s">
        <v>3696</v>
      </c>
    </row>
    <row r="115" spans="1:7">
      <c r="A115" t="s">
        <v>3697</v>
      </c>
      <c r="B115" s="27" t="s">
        <v>557</v>
      </c>
      <c r="C115" s="34" t="s">
        <v>557</v>
      </c>
      <c r="D115" s="11" t="s">
        <v>553</v>
      </c>
      <c r="E115" s="11" t="s">
        <v>553</v>
      </c>
      <c r="F115" s="11"/>
      <c r="G115" t="s">
        <v>3698</v>
      </c>
    </row>
    <row r="116" spans="1:7">
      <c r="A116" t="s">
        <v>3699</v>
      </c>
      <c r="B116" s="27" t="s">
        <v>557</v>
      </c>
      <c r="C116" s="34" t="s">
        <v>557</v>
      </c>
      <c r="D116" s="11" t="s">
        <v>553</v>
      </c>
      <c r="E116" s="11" t="s">
        <v>553</v>
      </c>
      <c r="F116" s="11"/>
      <c r="G116" t="s">
        <v>3700</v>
      </c>
    </row>
    <row r="117" spans="1:7">
      <c r="A117" t="s">
        <v>3701</v>
      </c>
      <c r="B117" s="27" t="s">
        <v>557</v>
      </c>
      <c r="C117" s="34" t="s">
        <v>557</v>
      </c>
      <c r="D117" s="11" t="s">
        <v>553</v>
      </c>
      <c r="E117" s="11" t="s">
        <v>553</v>
      </c>
      <c r="F117" s="11"/>
      <c r="G117" t="s">
        <v>3702</v>
      </c>
    </row>
    <row r="118" spans="1:7">
      <c r="A118" t="s">
        <v>3703</v>
      </c>
      <c r="B118" s="27" t="s">
        <v>557</v>
      </c>
      <c r="C118" s="34" t="s">
        <v>557</v>
      </c>
      <c r="D118" s="11" t="s">
        <v>553</v>
      </c>
      <c r="E118" s="11" t="s">
        <v>553</v>
      </c>
      <c r="F118" s="11"/>
      <c r="G118" t="s">
        <v>3704</v>
      </c>
    </row>
    <row r="119" spans="1:7">
      <c r="A119" t="s">
        <v>3705</v>
      </c>
      <c r="B119" s="27" t="s">
        <v>557</v>
      </c>
      <c r="C119" s="26" t="s">
        <v>557</v>
      </c>
      <c r="D119" t="s">
        <v>557</v>
      </c>
      <c r="E119" t="s">
        <v>557</v>
      </c>
      <c r="G119" t="s">
        <v>3706</v>
      </c>
    </row>
    <row r="120" spans="1:7">
      <c r="A120" t="s">
        <v>3707</v>
      </c>
      <c r="B120" s="27" t="s">
        <v>557</v>
      </c>
      <c r="C120" s="26" t="s">
        <v>553</v>
      </c>
      <c r="D120" s="11" t="s">
        <v>553</v>
      </c>
      <c r="E120" s="11" t="s">
        <v>553</v>
      </c>
      <c r="F120" s="11"/>
      <c r="G120" t="s">
        <v>3708</v>
      </c>
    </row>
    <row r="121" spans="1:7">
      <c r="A121" t="s">
        <v>3709</v>
      </c>
      <c r="B121" s="27" t="s">
        <v>557</v>
      </c>
      <c r="C121" s="26" t="s">
        <v>553</v>
      </c>
      <c r="D121" s="11" t="s">
        <v>553</v>
      </c>
      <c r="E121" s="11" t="s">
        <v>553</v>
      </c>
      <c r="F121" s="11"/>
      <c r="G121" t="s">
        <v>3710</v>
      </c>
    </row>
    <row r="122" spans="1:7">
      <c r="A122" t="s">
        <v>3711</v>
      </c>
      <c r="B122" s="27" t="s">
        <v>557</v>
      </c>
      <c r="C122" s="26" t="s">
        <v>553</v>
      </c>
      <c r="D122" s="11" t="s">
        <v>553</v>
      </c>
      <c r="E122" s="11" t="s">
        <v>553</v>
      </c>
      <c r="F122" s="11"/>
      <c r="G122" t="s">
        <v>3712</v>
      </c>
    </row>
    <row r="123" spans="1:7">
      <c r="A123" t="s">
        <v>3713</v>
      </c>
      <c r="B123" s="27" t="s">
        <v>557</v>
      </c>
      <c r="C123" s="34" t="s">
        <v>557</v>
      </c>
      <c r="D123" s="11" t="s">
        <v>553</v>
      </c>
      <c r="E123" s="11" t="s">
        <v>553</v>
      </c>
      <c r="F123" s="11"/>
      <c r="G123" t="s">
        <v>3714</v>
      </c>
    </row>
    <row r="124" spans="1:7">
      <c r="A124" t="s">
        <v>3715</v>
      </c>
      <c r="B124" s="27" t="s">
        <v>557</v>
      </c>
      <c r="C124" s="34" t="s">
        <v>557</v>
      </c>
      <c r="D124" s="11" t="s">
        <v>553</v>
      </c>
      <c r="E124" s="11" t="s">
        <v>553</v>
      </c>
      <c r="F124" s="11"/>
      <c r="G124" t="s">
        <v>3716</v>
      </c>
    </row>
    <row r="125" spans="1:7">
      <c r="A125" t="s">
        <v>3717</v>
      </c>
      <c r="B125" s="27" t="s">
        <v>557</v>
      </c>
      <c r="C125" s="26" t="s">
        <v>553</v>
      </c>
      <c r="D125" s="11" t="s">
        <v>553</v>
      </c>
      <c r="E125" s="11" t="s">
        <v>553</v>
      </c>
      <c r="F125" s="11"/>
      <c r="G125" t="s">
        <v>3718</v>
      </c>
    </row>
    <row r="126" spans="1:7">
      <c r="A126" t="s">
        <v>3719</v>
      </c>
      <c r="B126" s="27" t="s">
        <v>557</v>
      </c>
      <c r="C126" s="26" t="s">
        <v>553</v>
      </c>
      <c r="D126" s="11" t="s">
        <v>553</v>
      </c>
      <c r="E126" s="11" t="s">
        <v>553</v>
      </c>
      <c r="F126" s="11"/>
      <c r="G126" t="s">
        <v>3720</v>
      </c>
    </row>
    <row r="127" spans="1:7">
      <c r="A127" t="s">
        <v>3721</v>
      </c>
      <c r="B127" s="27" t="s">
        <v>557</v>
      </c>
      <c r="C127" s="26" t="s">
        <v>553</v>
      </c>
      <c r="D127" s="11" t="s">
        <v>553</v>
      </c>
      <c r="E127" s="11" t="s">
        <v>553</v>
      </c>
      <c r="F127" s="11"/>
      <c r="G127" t="s">
        <v>3722</v>
      </c>
    </row>
    <row r="128" spans="1:7">
      <c r="A128" t="s">
        <v>3723</v>
      </c>
      <c r="B128" s="27" t="s">
        <v>557</v>
      </c>
      <c r="C128" s="34" t="s">
        <v>557</v>
      </c>
      <c r="D128" s="11" t="s">
        <v>553</v>
      </c>
      <c r="E128" s="11" t="s">
        <v>553</v>
      </c>
      <c r="F128" s="11"/>
      <c r="G128" t="s">
        <v>3724</v>
      </c>
    </row>
    <row r="129" spans="1:7">
      <c r="A129" t="s">
        <v>3725</v>
      </c>
      <c r="B129" s="27" t="s">
        <v>557</v>
      </c>
      <c r="C129" s="34" t="s">
        <v>557</v>
      </c>
      <c r="D129" s="11" t="s">
        <v>553</v>
      </c>
      <c r="E129" s="11" t="s">
        <v>553</v>
      </c>
      <c r="F129" s="11"/>
      <c r="G129" t="s">
        <v>3726</v>
      </c>
    </row>
    <row r="130" spans="1:7">
      <c r="A130" t="s">
        <v>3727</v>
      </c>
      <c r="B130" s="27" t="s">
        <v>557</v>
      </c>
      <c r="C130" s="34" t="s">
        <v>557</v>
      </c>
      <c r="D130" s="11" t="s">
        <v>553</v>
      </c>
      <c r="E130" s="11" t="s">
        <v>553</v>
      </c>
      <c r="F130" s="11"/>
      <c r="G130" t="s">
        <v>3728</v>
      </c>
    </row>
    <row r="131" spans="1:7">
      <c r="A131" t="s">
        <v>3729</v>
      </c>
      <c r="B131" s="27" t="s">
        <v>557</v>
      </c>
      <c r="C131" s="34" t="s">
        <v>557</v>
      </c>
      <c r="D131" s="11" t="s">
        <v>553</v>
      </c>
      <c r="E131" s="11" t="s">
        <v>553</v>
      </c>
      <c r="F131" s="11"/>
      <c r="G131" t="s">
        <v>3730</v>
      </c>
    </row>
    <row r="132" spans="1:7">
      <c r="A132" t="s">
        <v>3731</v>
      </c>
      <c r="B132" s="27" t="s">
        <v>557</v>
      </c>
      <c r="C132" s="34" t="s">
        <v>557</v>
      </c>
      <c r="D132" s="11" t="s">
        <v>553</v>
      </c>
      <c r="E132" s="11" t="s">
        <v>553</v>
      </c>
      <c r="F132" s="11"/>
      <c r="G132" t="s">
        <v>3732</v>
      </c>
    </row>
    <row r="133" spans="1:7">
      <c r="A133" t="s">
        <v>3733</v>
      </c>
      <c r="B133" s="27" t="s">
        <v>557</v>
      </c>
      <c r="C133" s="34" t="s">
        <v>557</v>
      </c>
      <c r="D133" s="11" t="s">
        <v>553</v>
      </c>
      <c r="E133" s="11" t="s">
        <v>553</v>
      </c>
      <c r="F133" s="11"/>
      <c r="G133" t="s">
        <v>3734</v>
      </c>
    </row>
    <row r="134" spans="1:7">
      <c r="A134" t="s">
        <v>3735</v>
      </c>
      <c r="B134" s="27" t="s">
        <v>557</v>
      </c>
      <c r="C134" s="34" t="s">
        <v>557</v>
      </c>
      <c r="D134" s="11" t="s">
        <v>553</v>
      </c>
      <c r="E134" s="11" t="s">
        <v>553</v>
      </c>
      <c r="F134" s="11"/>
      <c r="G134" t="s">
        <v>3736</v>
      </c>
    </row>
    <row r="135" spans="1:7">
      <c r="A135" t="s">
        <v>3737</v>
      </c>
      <c r="B135" s="27" t="s">
        <v>557</v>
      </c>
      <c r="C135" s="34" t="s">
        <v>557</v>
      </c>
      <c r="D135" s="11" t="s">
        <v>557</v>
      </c>
      <c r="E135" s="11" t="s">
        <v>557</v>
      </c>
      <c r="F135" s="11"/>
      <c r="G135" t="s">
        <v>3738</v>
      </c>
    </row>
    <row r="136" spans="1:7">
      <c r="A136" t="s">
        <v>3739</v>
      </c>
      <c r="B136" s="27" t="s">
        <v>557</v>
      </c>
      <c r="C136" s="34" t="s">
        <v>557</v>
      </c>
      <c r="D136" s="11" t="s">
        <v>553</v>
      </c>
      <c r="E136" s="11" t="s">
        <v>553</v>
      </c>
      <c r="F136" s="11"/>
      <c r="G136" t="s">
        <v>3740</v>
      </c>
    </row>
    <row r="137" spans="1:7">
      <c r="A137" t="s">
        <v>3741</v>
      </c>
      <c r="B137" s="27" t="s">
        <v>557</v>
      </c>
      <c r="C137" s="34" t="s">
        <v>557</v>
      </c>
      <c r="D137" s="11" t="s">
        <v>553</v>
      </c>
      <c r="E137" s="11" t="s">
        <v>553</v>
      </c>
      <c r="F137" s="11"/>
      <c r="G137" t="s">
        <v>3742</v>
      </c>
    </row>
    <row r="138" spans="1:7">
      <c r="A138" t="s">
        <v>3743</v>
      </c>
      <c r="B138" s="27" t="s">
        <v>557</v>
      </c>
      <c r="C138" s="34" t="s">
        <v>557</v>
      </c>
      <c r="D138" s="11" t="s">
        <v>553</v>
      </c>
      <c r="E138" s="11" t="s">
        <v>553</v>
      </c>
      <c r="F138" s="11"/>
      <c r="G138" t="s">
        <v>3744</v>
      </c>
    </row>
    <row r="139" spans="1:7">
      <c r="A139" t="s">
        <v>3745</v>
      </c>
      <c r="B139" s="27" t="s">
        <v>557</v>
      </c>
      <c r="C139" s="34" t="s">
        <v>557</v>
      </c>
      <c r="D139" s="11" t="s">
        <v>553</v>
      </c>
      <c r="E139" s="11" t="s">
        <v>553</v>
      </c>
      <c r="F139" s="11"/>
      <c r="G139" t="s">
        <v>3746</v>
      </c>
    </row>
    <row r="140" spans="1:7">
      <c r="A140" t="s">
        <v>3747</v>
      </c>
      <c r="B140" s="27" t="s">
        <v>557</v>
      </c>
      <c r="C140" s="34" t="s">
        <v>557</v>
      </c>
      <c r="D140" s="11" t="s">
        <v>553</v>
      </c>
      <c r="E140" s="11" t="s">
        <v>553</v>
      </c>
      <c r="F140" s="11"/>
      <c r="G140" t="s">
        <v>3748</v>
      </c>
    </row>
    <row r="141" spans="1:7">
      <c r="A141" t="s">
        <v>3749</v>
      </c>
      <c r="B141" s="27" t="s">
        <v>557</v>
      </c>
      <c r="C141" s="34" t="s">
        <v>557</v>
      </c>
      <c r="D141" s="11" t="s">
        <v>553</v>
      </c>
      <c r="E141" s="11" t="s">
        <v>553</v>
      </c>
      <c r="F141" s="11"/>
      <c r="G141" t="s">
        <v>3750</v>
      </c>
    </row>
    <row r="142" spans="1:7">
      <c r="A142" t="s">
        <v>3751</v>
      </c>
      <c r="B142" s="27" t="s">
        <v>557</v>
      </c>
      <c r="C142" s="34" t="s">
        <v>557</v>
      </c>
      <c r="D142" t="s">
        <v>557</v>
      </c>
      <c r="E142" t="s">
        <v>557</v>
      </c>
      <c r="G142" t="s">
        <v>3752</v>
      </c>
    </row>
    <row r="143" spans="1:7">
      <c r="A143" t="s">
        <v>3753</v>
      </c>
      <c r="B143" s="27" t="s">
        <v>557</v>
      </c>
      <c r="C143" s="34" t="s">
        <v>557</v>
      </c>
      <c r="D143" t="s">
        <v>557</v>
      </c>
      <c r="E143" t="s">
        <v>557</v>
      </c>
      <c r="G143" t="s">
        <v>3754</v>
      </c>
    </row>
    <row r="144" spans="1:7">
      <c r="A144" t="s">
        <v>3755</v>
      </c>
      <c r="B144" s="27" t="s">
        <v>557</v>
      </c>
      <c r="C144" s="34" t="s">
        <v>557</v>
      </c>
      <c r="D144" s="11" t="s">
        <v>557</v>
      </c>
      <c r="E144" s="11" t="s">
        <v>557</v>
      </c>
      <c r="G144" t="s">
        <v>3756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1111-FD84-416B-BAB7-4B67489EEEF1}">
  <dimension ref="A2:H108"/>
  <sheetViews>
    <sheetView workbookViewId="0">
      <selection activeCell="D3" sqref="D3"/>
    </sheetView>
  </sheetViews>
  <sheetFormatPr defaultColWidth="11.5546875" defaultRowHeight="13.8"/>
  <cols>
    <col min="1" max="1" width="19.6640625" customWidth="1"/>
    <col min="2" max="2" width="35" customWidth="1"/>
    <col min="3" max="3" width="54.6640625" customWidth="1"/>
    <col min="4" max="4" width="25.6640625" customWidth="1"/>
    <col min="5" max="5" width="26.77734375" customWidth="1"/>
    <col min="7" max="7" width="31.5546875" customWidth="1"/>
    <col min="8" max="8" width="92.5546875" customWidth="1"/>
  </cols>
  <sheetData>
    <row r="2" spans="1:8" ht="14.4">
      <c r="A2" s="16" t="s">
        <v>1759</v>
      </c>
      <c r="B2" s="15" t="s">
        <v>653</v>
      </c>
      <c r="C2" s="17" t="s">
        <v>654</v>
      </c>
      <c r="D2" s="20" t="s">
        <v>3451</v>
      </c>
      <c r="E2" s="16" t="s">
        <v>3930</v>
      </c>
      <c r="F2" s="20" t="s">
        <v>558</v>
      </c>
      <c r="G2" s="20" t="s">
        <v>3450</v>
      </c>
      <c r="H2" s="20" t="s">
        <v>3452</v>
      </c>
    </row>
    <row r="3" spans="1:8">
      <c r="A3" t="s">
        <v>4092</v>
      </c>
      <c r="B3" t="s">
        <v>4329</v>
      </c>
      <c r="C3" t="s">
        <v>3830</v>
      </c>
      <c r="D3" s="11" t="s">
        <v>4093</v>
      </c>
      <c r="E3" t="str">
        <f>IFERROR(VLOOKUP(B3,[1]rmh!$A$3:$B$196,2,FALSE),"")</f>
        <v/>
      </c>
      <c r="G3" t="s">
        <v>3499</v>
      </c>
      <c r="H3" t="s">
        <v>3501</v>
      </c>
    </row>
    <row r="4" spans="1:8">
      <c r="A4" t="s">
        <v>4094</v>
      </c>
      <c r="B4" t="s">
        <v>4095</v>
      </c>
      <c r="C4" t="s">
        <v>4096</v>
      </c>
      <c r="D4" s="11" t="s">
        <v>4097</v>
      </c>
      <c r="E4" t="str">
        <f>IFERROR(VLOOKUP(B4,[1]rmh!$A$3:$B$196,2,FALSE),"")</f>
        <v/>
      </c>
      <c r="G4" t="s">
        <v>3636</v>
      </c>
      <c r="H4" t="s">
        <v>3638</v>
      </c>
    </row>
    <row r="5" spans="1:8">
      <c r="A5" t="s">
        <v>4098</v>
      </c>
      <c r="B5" t="s">
        <v>852</v>
      </c>
      <c r="C5" t="s">
        <v>4099</v>
      </c>
      <c r="D5" s="11" t="s">
        <v>4035</v>
      </c>
      <c r="E5" t="str">
        <f>IFERROR(VLOOKUP(B5,[1]rmh!$A$3:$B$196,2,FALSE),"")</f>
        <v>Electricity supply</v>
      </c>
      <c r="G5" t="s">
        <v>3639</v>
      </c>
      <c r="H5" t="s">
        <v>3640</v>
      </c>
    </row>
    <row r="6" spans="1:8">
      <c r="A6" t="s">
        <v>4100</v>
      </c>
      <c r="B6" t="s">
        <v>3931</v>
      </c>
      <c r="C6" t="s">
        <v>4101</v>
      </c>
      <c r="D6" s="11" t="s">
        <v>4045</v>
      </c>
      <c r="E6" t="str">
        <f>IFERROR(VLOOKUP(B6,[1]rmh!$A$3:$B$196,2,FALSE),"")</f>
        <v>Steam, air conditioning</v>
      </c>
      <c r="G6" t="s">
        <v>3641</v>
      </c>
      <c r="H6" t="s">
        <v>3642</v>
      </c>
    </row>
    <row r="7" spans="1:8">
      <c r="A7" t="s">
        <v>4102</v>
      </c>
      <c r="B7" t="s">
        <v>555</v>
      </c>
      <c r="C7" t="s">
        <v>4103</v>
      </c>
      <c r="D7" t="s">
        <v>4104</v>
      </c>
      <c r="E7" t="str">
        <f>IFERROR(VLOOKUP(B7,[1]rmh!$A$3:$B$196,2,FALSE),"")</f>
        <v>Exports</v>
      </c>
      <c r="G7" t="s">
        <v>3564</v>
      </c>
      <c r="H7" t="s">
        <v>3565</v>
      </c>
    </row>
    <row r="8" spans="1:8">
      <c r="A8" t="s">
        <v>4105</v>
      </c>
      <c r="B8" t="s">
        <v>555</v>
      </c>
      <c r="C8" t="s">
        <v>4106</v>
      </c>
      <c r="D8" s="11" t="s">
        <v>4107</v>
      </c>
      <c r="E8" t="str">
        <f>IFERROR(VLOOKUP(B8,[1]rmh!$A$3:$B$196,2,FALSE),"")</f>
        <v>Exports</v>
      </c>
      <c r="G8" t="s">
        <v>3567</v>
      </c>
      <c r="H8" t="s">
        <v>3568</v>
      </c>
    </row>
    <row r="9" spans="1:8">
      <c r="A9" t="s">
        <v>4108</v>
      </c>
      <c r="B9" t="s">
        <v>4122</v>
      </c>
      <c r="C9" t="s">
        <v>4109</v>
      </c>
      <c r="D9" s="11" t="s">
        <v>4110</v>
      </c>
      <c r="E9" t="str">
        <f>IFERROR(VLOOKUP(B9,[1]rmh!$A$3:$B$196,2,FALSE),"")</f>
        <v/>
      </c>
      <c r="G9" t="s">
        <v>3461</v>
      </c>
      <c r="H9" t="s">
        <v>3463</v>
      </c>
    </row>
    <row r="10" spans="1:8">
      <c r="A10" t="s">
        <v>4111</v>
      </c>
      <c r="B10" t="s">
        <v>4112</v>
      </c>
      <c r="C10" t="s">
        <v>3855</v>
      </c>
      <c r="D10" s="11" t="s">
        <v>4113</v>
      </c>
      <c r="E10" t="str">
        <f>IFERROR(VLOOKUP(B10,[1]rmh!$A$3:$B$196,2,FALSE),"")</f>
        <v/>
      </c>
      <c r="G10" t="s">
        <v>3502</v>
      </c>
      <c r="H10" t="s">
        <v>3504</v>
      </c>
    </row>
    <row r="11" spans="1:8" ht="14.4">
      <c r="A11" t="s">
        <v>4114</v>
      </c>
      <c r="B11" t="s">
        <v>432</v>
      </c>
      <c r="C11" t="s">
        <v>433</v>
      </c>
      <c r="D11" s="11" t="s">
        <v>4115</v>
      </c>
      <c r="E11" t="str">
        <f>IFERROR(VLOOKUP(B11,[1]rmh!$A$3:$B$196,2,FALSE),"")</f>
        <v>Construction</v>
      </c>
      <c r="F11" s="20"/>
      <c r="G11" t="s">
        <v>3459</v>
      </c>
      <c r="H11" t="s">
        <v>3460</v>
      </c>
    </row>
    <row r="12" spans="1:8">
      <c r="A12" t="s">
        <v>4116</v>
      </c>
      <c r="B12" t="s">
        <v>557</v>
      </c>
      <c r="C12" t="s">
        <v>3456</v>
      </c>
      <c r="D12" s="11" t="s">
        <v>557</v>
      </c>
      <c r="E12" t="str">
        <f>IFERROR(VLOOKUP(B12,[1]rmh!$A$3:$B$196,2,FALSE),"")</f>
        <v/>
      </c>
      <c r="G12" t="s">
        <v>3455</v>
      </c>
      <c r="H12" t="s">
        <v>3456</v>
      </c>
    </row>
    <row r="13" spans="1:8">
      <c r="A13" t="s">
        <v>4117</v>
      </c>
      <c r="B13" t="s">
        <v>450</v>
      </c>
      <c r="C13" t="s">
        <v>4118</v>
      </c>
      <c r="D13" s="11" t="s">
        <v>4060</v>
      </c>
      <c r="E13" t="str">
        <f>IFERROR(VLOOKUP(B13,[1]rmh!$A$3:$B$196,2,FALSE),"")</f>
        <v>Air transport</v>
      </c>
      <c r="G13" t="s">
        <v>3516</v>
      </c>
      <c r="H13" t="s">
        <v>3517</v>
      </c>
    </row>
    <row r="14" spans="1:8">
      <c r="A14" t="s">
        <v>4119</v>
      </c>
      <c r="B14" t="s">
        <v>447</v>
      </c>
      <c r="C14" t="s">
        <v>4120</v>
      </c>
      <c r="D14" s="11" t="s">
        <v>4059</v>
      </c>
      <c r="E14" t="str">
        <f>IFERROR(VLOOKUP(B14,[1]rmh!$A$3:$B$196,2,FALSE),"")</f>
        <v>Water transport</v>
      </c>
      <c r="G14" t="s">
        <v>3518</v>
      </c>
      <c r="H14" t="s">
        <v>3519</v>
      </c>
    </row>
    <row r="15" spans="1:8">
      <c r="A15" t="s">
        <v>4121</v>
      </c>
      <c r="B15" t="s">
        <v>4122</v>
      </c>
      <c r="C15" t="s">
        <v>4123</v>
      </c>
      <c r="D15" s="11" t="s">
        <v>4124</v>
      </c>
      <c r="E15" t="str">
        <f>IFERROR(VLOOKUP(B15,[1]rmh!$A$3:$B$196,2,FALSE),"")</f>
        <v/>
      </c>
      <c r="G15" t="s">
        <v>3571</v>
      </c>
      <c r="H15" t="s">
        <v>3572</v>
      </c>
    </row>
    <row r="16" spans="1:8">
      <c r="A16" t="s">
        <v>4125</v>
      </c>
      <c r="B16" t="s">
        <v>750</v>
      </c>
      <c r="C16" t="s">
        <v>4126</v>
      </c>
      <c r="D16" s="11" t="s">
        <v>4127</v>
      </c>
      <c r="E16" t="str">
        <f>IFERROR(VLOOKUP(B16,[1]rmh!$A$3:$B$196,2,FALSE),"")</f>
        <v>Briquettes and patent fuel</v>
      </c>
      <c r="G16" t="s">
        <v>3573</v>
      </c>
      <c r="H16" t="s">
        <v>3574</v>
      </c>
    </row>
    <row r="17" spans="1:8">
      <c r="A17" t="s">
        <v>4128</v>
      </c>
      <c r="B17" t="s">
        <v>4129</v>
      </c>
      <c r="C17" t="s">
        <v>4130</v>
      </c>
      <c r="D17" t="s">
        <v>4131</v>
      </c>
      <c r="E17" t="str">
        <f>IFERROR(VLOOKUP(B17,[1]rmh!$A$3:$B$196,2,FALSE),"")</f>
        <v/>
      </c>
      <c r="G17" t="s">
        <v>3569</v>
      </c>
      <c r="H17" t="s">
        <v>3570</v>
      </c>
    </row>
    <row r="18" spans="1:8">
      <c r="A18" t="s">
        <v>4132</v>
      </c>
      <c r="B18" t="s">
        <v>4133</v>
      </c>
      <c r="C18" t="s">
        <v>4134</v>
      </c>
      <c r="D18" s="11" t="s">
        <v>4127</v>
      </c>
      <c r="E18" t="str">
        <f>IFERROR(VLOOKUP(B18,[1]rmh!$A$3:$B$196,2,FALSE),"")</f>
        <v/>
      </c>
      <c r="G18" t="s">
        <v>3582</v>
      </c>
      <c r="H18" t="s">
        <v>3583</v>
      </c>
    </row>
    <row r="19" spans="1:8">
      <c r="A19" t="s">
        <v>4135</v>
      </c>
      <c r="B19" t="s">
        <v>4133</v>
      </c>
      <c r="C19" t="s">
        <v>4136</v>
      </c>
      <c r="D19" s="11" t="s">
        <v>4127</v>
      </c>
      <c r="E19" t="str">
        <f>IFERROR(VLOOKUP(B19,[1]rmh!$A$3:$B$196,2,FALSE),"")</f>
        <v/>
      </c>
      <c r="G19" t="s">
        <v>3575</v>
      </c>
      <c r="H19" t="s">
        <v>3576</v>
      </c>
    </row>
    <row r="20" spans="1:8">
      <c r="A20" t="s">
        <v>4137</v>
      </c>
      <c r="B20" t="s">
        <v>224</v>
      </c>
      <c r="C20" t="s">
        <v>4138</v>
      </c>
      <c r="D20" s="11" t="s">
        <v>3411</v>
      </c>
      <c r="E20" t="str">
        <f>IFERROR(VLOOKUP(B20,[1]rmh!$A$3:$B$196,2,FALSE),"")</f>
        <v>Coke oven products</v>
      </c>
      <c r="G20" t="s">
        <v>3580</v>
      </c>
      <c r="H20" t="s">
        <v>3581</v>
      </c>
    </row>
    <row r="21" spans="1:8">
      <c r="A21" t="s">
        <v>4139</v>
      </c>
      <c r="B21" t="s">
        <v>875</v>
      </c>
      <c r="C21" t="s">
        <v>4140</v>
      </c>
      <c r="D21" s="11" t="s">
        <v>4040</v>
      </c>
      <c r="E21" t="str">
        <f>IFERROR(VLOOKUP(B21,[1]rmh!$A$3:$B$196,2,FALSE),"")</f>
        <v>Gas supply</v>
      </c>
      <c r="G21" t="s">
        <v>3590</v>
      </c>
      <c r="H21" t="s">
        <v>3591</v>
      </c>
    </row>
    <row r="22" spans="1:8">
      <c r="A22" t="s">
        <v>4141</v>
      </c>
      <c r="B22" t="s">
        <v>4133</v>
      </c>
      <c r="C22" t="s">
        <v>4142</v>
      </c>
      <c r="D22" s="11" t="s">
        <v>4127</v>
      </c>
      <c r="E22" t="str">
        <f>IFERROR(VLOOKUP(B22,[1]rmh!$A$3:$B$196,2,FALSE),"")</f>
        <v/>
      </c>
      <c r="G22" t="s">
        <v>3588</v>
      </c>
      <c r="H22" t="s">
        <v>3589</v>
      </c>
    </row>
    <row r="23" spans="1:8">
      <c r="A23" t="s">
        <v>4143</v>
      </c>
      <c r="B23" t="s">
        <v>553</v>
      </c>
      <c r="C23" t="s">
        <v>4144</v>
      </c>
      <c r="D23" t="s">
        <v>4145</v>
      </c>
      <c r="E23" t="str">
        <f>IFERROR(VLOOKUP(B23,[1]rmh!$A$3:$B$196,2,FALSE),"")</f>
        <v>Output</v>
      </c>
      <c r="G23" t="s">
        <v>3707</v>
      </c>
      <c r="H23" t="s">
        <v>3708</v>
      </c>
    </row>
    <row r="24" spans="1:8">
      <c r="A24" t="s">
        <v>4146</v>
      </c>
      <c r="B24" t="s">
        <v>553</v>
      </c>
      <c r="C24" t="s">
        <v>4147</v>
      </c>
      <c r="D24" t="s">
        <v>4145</v>
      </c>
      <c r="E24" t="str">
        <f>IFERROR(VLOOKUP(B24,[1]rmh!$A$3:$B$196,2,FALSE),"")</f>
        <v>Output</v>
      </c>
      <c r="G24" t="s">
        <v>3709</v>
      </c>
      <c r="H24" t="s">
        <v>3710</v>
      </c>
    </row>
    <row r="25" spans="1:8">
      <c r="A25" t="s">
        <v>4148</v>
      </c>
      <c r="B25" t="s">
        <v>553</v>
      </c>
      <c r="C25" t="s">
        <v>4149</v>
      </c>
      <c r="D25" t="s">
        <v>4145</v>
      </c>
      <c r="E25" t="str">
        <f>IFERROR(VLOOKUP(B25,[1]rmh!$A$3:$B$196,2,FALSE),"")</f>
        <v>Output</v>
      </c>
      <c r="G25" t="s">
        <v>3717</v>
      </c>
      <c r="H25" t="s">
        <v>3718</v>
      </c>
    </row>
    <row r="26" spans="1:8">
      <c r="A26" t="s">
        <v>4150</v>
      </c>
      <c r="B26" t="s">
        <v>553</v>
      </c>
      <c r="C26" t="s">
        <v>4151</v>
      </c>
      <c r="D26" t="s">
        <v>4145</v>
      </c>
      <c r="E26" t="str">
        <f>IFERROR(VLOOKUP(B26,[1]rmh!$A$3:$B$196,2,FALSE),"")</f>
        <v>Output</v>
      </c>
      <c r="G26" t="s">
        <v>3719</v>
      </c>
      <c r="H26" t="s">
        <v>3720</v>
      </c>
    </row>
    <row r="27" spans="1:8">
      <c r="A27" t="s">
        <v>4152</v>
      </c>
      <c r="B27" t="s">
        <v>4133</v>
      </c>
      <c r="C27" t="s">
        <v>4153</v>
      </c>
      <c r="D27" s="11" t="s">
        <v>4127</v>
      </c>
      <c r="E27" t="str">
        <f>IFERROR(VLOOKUP(B27,[1]rmh!$A$3:$B$196,2,FALSE),"")</f>
        <v/>
      </c>
      <c r="G27" t="s">
        <v>3592</v>
      </c>
      <c r="H27" t="s">
        <v>3593</v>
      </c>
    </row>
    <row r="28" spans="1:8">
      <c r="A28" t="s">
        <v>4154</v>
      </c>
      <c r="B28" t="s">
        <v>557</v>
      </c>
      <c r="C28" t="s">
        <v>4155</v>
      </c>
      <c r="D28" s="11" t="s">
        <v>557</v>
      </c>
      <c r="E28" t="str">
        <f>IFERROR(VLOOKUP(B28,[1]rmh!$A$3:$B$196,2,FALSE),"")</f>
        <v/>
      </c>
      <c r="G28" t="s">
        <v>3705</v>
      </c>
      <c r="H28" t="s">
        <v>3706</v>
      </c>
    </row>
    <row r="29" spans="1:8">
      <c r="A29" t="s">
        <v>4156</v>
      </c>
      <c r="B29" t="s">
        <v>3148</v>
      </c>
      <c r="C29" t="s">
        <v>4157</v>
      </c>
      <c r="D29" s="11" t="s">
        <v>1674</v>
      </c>
      <c r="E29" t="str">
        <f>IFERROR(VLOOKUP(B29,[1]rmh!$A$3:$B$196,2,FALSE),"")</f>
        <v/>
      </c>
      <c r="G29" t="s">
        <v>3577</v>
      </c>
      <c r="H29" t="s">
        <v>3579</v>
      </c>
    </row>
    <row r="30" spans="1:8">
      <c r="A30" t="s">
        <v>4158</v>
      </c>
      <c r="B30" t="s">
        <v>4159</v>
      </c>
      <c r="C30" t="s">
        <v>4160</v>
      </c>
      <c r="D30" s="11" t="s">
        <v>4161</v>
      </c>
      <c r="E30" t="str">
        <f>IFERROR(VLOOKUP(B30,[1]rmh!$A$3:$B$196,2,FALSE),"")</f>
        <v/>
      </c>
      <c r="G30" t="s">
        <v>3599</v>
      </c>
      <c r="H30" t="s">
        <v>3600</v>
      </c>
    </row>
    <row r="31" spans="1:8">
      <c r="A31" t="s">
        <v>4162</v>
      </c>
      <c r="B31" t="s">
        <v>333</v>
      </c>
      <c r="C31" t="s">
        <v>4163</v>
      </c>
      <c r="D31" s="11" t="s">
        <v>4164</v>
      </c>
      <c r="E31" t="str">
        <f>IFERROR(VLOOKUP(B31,[1]rmh!$A$3:$B$196,2,FALSE),"")</f>
        <v>Nuclear fuel/heat</v>
      </c>
      <c r="G31" t="s">
        <v>3596</v>
      </c>
      <c r="H31" t="s">
        <v>3597</v>
      </c>
    </row>
    <row r="32" spans="1:8">
      <c r="A32" t="s">
        <v>4165</v>
      </c>
      <c r="B32" t="s">
        <v>4166</v>
      </c>
      <c r="C32" t="s">
        <v>4167</v>
      </c>
      <c r="D32" s="11" t="s">
        <v>1677</v>
      </c>
      <c r="E32" t="str">
        <f>IFERROR(VLOOKUP(B32,[1]rmh!$A$3:$B$196,2,FALSE),"")</f>
        <v/>
      </c>
      <c r="G32" t="s">
        <v>3601</v>
      </c>
      <c r="H32" t="s">
        <v>3603</v>
      </c>
    </row>
    <row r="33" spans="1:8">
      <c r="A33" t="s">
        <v>4168</v>
      </c>
      <c r="B33" t="s">
        <v>750</v>
      </c>
      <c r="C33" t="s">
        <v>4169</v>
      </c>
      <c r="D33" s="11" t="s">
        <v>4127</v>
      </c>
      <c r="E33" t="str">
        <f>IFERROR(VLOOKUP(B33,[1]rmh!$A$3:$B$196,2,FALSE),"")</f>
        <v>Briquettes and patent fuel</v>
      </c>
      <c r="G33" t="s">
        <v>3604</v>
      </c>
      <c r="H33" t="s">
        <v>3605</v>
      </c>
    </row>
    <row r="34" spans="1:8">
      <c r="A34" t="s">
        <v>4170</v>
      </c>
      <c r="B34" t="s">
        <v>852</v>
      </c>
      <c r="C34" t="s">
        <v>4171</v>
      </c>
      <c r="D34" s="11" t="s">
        <v>4035</v>
      </c>
      <c r="E34" t="str">
        <f>IFERROR(VLOOKUP(B34,[1]rmh!$A$3:$B$196,2,FALSE),"")</f>
        <v>Electricity supply</v>
      </c>
      <c r="G34" t="s">
        <v>3586</v>
      </c>
      <c r="H34" t="s">
        <v>3587</v>
      </c>
    </row>
    <row r="35" spans="1:8">
      <c r="A35" t="s">
        <v>4172</v>
      </c>
      <c r="B35" t="s">
        <v>852</v>
      </c>
      <c r="C35" t="s">
        <v>4173</v>
      </c>
      <c r="D35" s="11" t="s">
        <v>4035</v>
      </c>
      <c r="E35" t="str">
        <f>IFERROR(VLOOKUP(B35,[1]rmh!$A$3:$B$196,2,FALSE),"")</f>
        <v>Electricity supply</v>
      </c>
      <c r="G35" t="s">
        <v>3586</v>
      </c>
      <c r="H35" t="s">
        <v>3587</v>
      </c>
    </row>
    <row r="36" spans="1:8">
      <c r="A36" t="s">
        <v>4174</v>
      </c>
      <c r="B36" t="s">
        <v>4133</v>
      </c>
      <c r="C36" t="s">
        <v>4175</v>
      </c>
      <c r="D36" s="11" t="s">
        <v>4127</v>
      </c>
      <c r="E36" t="str">
        <f>IFERROR(VLOOKUP(B36,[1]rmh!$A$3:$B$196,2,FALSE),"")</f>
        <v/>
      </c>
      <c r="G36" t="s">
        <v>3606</v>
      </c>
      <c r="H36" t="s">
        <v>3607</v>
      </c>
    </row>
    <row r="37" spans="1:8">
      <c r="A37" t="s">
        <v>4176</v>
      </c>
      <c r="B37" t="s">
        <v>555</v>
      </c>
      <c r="C37" t="s">
        <v>556</v>
      </c>
      <c r="D37" s="11" t="s">
        <v>555</v>
      </c>
      <c r="E37" t="str">
        <f>IFERROR(VLOOKUP(B37,[1]rmh!$A$3:$B$196,2,FALSE),"")</f>
        <v>Exports</v>
      </c>
      <c r="G37" t="s">
        <v>555</v>
      </c>
      <c r="H37" t="s">
        <v>556</v>
      </c>
    </row>
    <row r="38" spans="1:8">
      <c r="A38" t="s">
        <v>4177</v>
      </c>
      <c r="B38" t="s">
        <v>66</v>
      </c>
      <c r="C38" t="s">
        <v>4178</v>
      </c>
      <c r="D38" s="11" t="s">
        <v>3958</v>
      </c>
      <c r="E38" t="str">
        <f>IFERROR(VLOOKUP(B38,[1]rmh!$A$3:$B$196,2,FALSE),"")</f>
        <v>Fish</v>
      </c>
      <c r="G38" t="s">
        <v>3507</v>
      </c>
      <c r="H38" t="s">
        <v>3508</v>
      </c>
    </row>
    <row r="39" spans="1:8">
      <c r="A39" t="s">
        <v>4179</v>
      </c>
      <c r="B39" t="s">
        <v>4180</v>
      </c>
      <c r="C39" t="s">
        <v>4181</v>
      </c>
      <c r="D39" s="11" t="s">
        <v>4182</v>
      </c>
      <c r="E39" t="str">
        <f>IFERROR(VLOOKUP(B39,[1]rmh!$A$3:$B$196,2,FALSE),"")</f>
        <v/>
      </c>
      <c r="G39" t="s">
        <v>3466</v>
      </c>
      <c r="H39" t="s">
        <v>3467</v>
      </c>
    </row>
    <row r="40" spans="1:8">
      <c r="A40" t="s">
        <v>4183</v>
      </c>
      <c r="B40" t="s">
        <v>557</v>
      </c>
      <c r="C40" t="s">
        <v>4184</v>
      </c>
      <c r="D40" s="11" t="s">
        <v>557</v>
      </c>
      <c r="E40" t="str">
        <f>IFERROR(VLOOKUP(B40,[1]rmh!$A$3:$B$196,2,FALSE),"")</f>
        <v/>
      </c>
      <c r="G40" t="s">
        <v>3705</v>
      </c>
      <c r="H40" t="s">
        <v>3706</v>
      </c>
    </row>
    <row r="41" spans="1:8">
      <c r="A41" t="s">
        <v>4185</v>
      </c>
      <c r="B41" t="s">
        <v>553</v>
      </c>
      <c r="C41" t="s">
        <v>4186</v>
      </c>
      <c r="D41" t="s">
        <v>4145</v>
      </c>
      <c r="E41" t="str">
        <f>IFERROR(VLOOKUP(B41,[1]rmh!$A$3:$B$196,2,FALSE),"")</f>
        <v>Output</v>
      </c>
      <c r="G41" t="s">
        <v>3707</v>
      </c>
      <c r="H41" t="s">
        <v>3708</v>
      </c>
    </row>
    <row r="42" spans="1:8">
      <c r="A42" t="s">
        <v>4187</v>
      </c>
      <c r="B42" t="s">
        <v>553</v>
      </c>
      <c r="C42" t="s">
        <v>4188</v>
      </c>
      <c r="D42" t="s">
        <v>4145</v>
      </c>
      <c r="E42" t="str">
        <f>IFERROR(VLOOKUP(B42,[1]rmh!$A$3:$B$196,2,FALSE),"")</f>
        <v>Output</v>
      </c>
      <c r="G42" t="s">
        <v>3711</v>
      </c>
      <c r="H42" t="s">
        <v>3712</v>
      </c>
    </row>
    <row r="43" spans="1:8">
      <c r="A43" t="s">
        <v>4189</v>
      </c>
      <c r="B43" t="s">
        <v>553</v>
      </c>
      <c r="C43" t="s">
        <v>4190</v>
      </c>
      <c r="D43" t="s">
        <v>4145</v>
      </c>
      <c r="E43" t="str">
        <f>IFERROR(VLOOKUP(B43,[1]rmh!$A$3:$B$196,2,FALSE),"")</f>
        <v>Output</v>
      </c>
      <c r="G43" t="s">
        <v>3717</v>
      </c>
      <c r="H43" s="21" t="s">
        <v>3718</v>
      </c>
    </row>
    <row r="44" spans="1:8">
      <c r="A44" t="s">
        <v>4191</v>
      </c>
      <c r="B44" t="s">
        <v>553</v>
      </c>
      <c r="C44" t="s">
        <v>4192</v>
      </c>
      <c r="D44" t="s">
        <v>4145</v>
      </c>
      <c r="E44" t="str">
        <f>IFERROR(VLOOKUP(B44,[1]rmh!$A$3:$B$196,2,FALSE),"")</f>
        <v>Output</v>
      </c>
      <c r="G44" t="s">
        <v>3721</v>
      </c>
      <c r="H44" t="s">
        <v>3722</v>
      </c>
    </row>
    <row r="45" spans="1:8">
      <c r="A45" t="s">
        <v>4193</v>
      </c>
      <c r="B45" t="s">
        <v>3562</v>
      </c>
      <c r="C45" t="s">
        <v>3563</v>
      </c>
      <c r="D45" s="11" t="s">
        <v>3562</v>
      </c>
      <c r="E45" t="str">
        <f>IFERROR(VLOOKUP(B45,[1]rmh!$A$3:$B$196,2,FALSE),"")</f>
        <v>Imports</v>
      </c>
      <c r="G45" t="s">
        <v>3562</v>
      </c>
      <c r="H45" t="s">
        <v>3563</v>
      </c>
    </row>
    <row r="46" spans="1:8">
      <c r="A46" t="s">
        <v>4194</v>
      </c>
      <c r="B46" t="s">
        <v>553</v>
      </c>
      <c r="C46" t="s">
        <v>4195</v>
      </c>
      <c r="D46" t="s">
        <v>4145</v>
      </c>
      <c r="E46" t="str">
        <f>IFERROR(VLOOKUP(B46,[1]rmh!$A$3:$B$196,2,FALSE),"")</f>
        <v>Output</v>
      </c>
      <c r="G46" t="s">
        <v>3612</v>
      </c>
      <c r="H46" t="s">
        <v>3613</v>
      </c>
    </row>
    <row r="47" spans="1:8">
      <c r="A47" t="s">
        <v>4196</v>
      </c>
      <c r="B47" t="s">
        <v>557</v>
      </c>
      <c r="C47" t="s">
        <v>4197</v>
      </c>
      <c r="D47" s="11" t="s">
        <v>557</v>
      </c>
      <c r="E47" t="str">
        <f>IFERROR(VLOOKUP(B47,[1]rmh!$A$3:$B$196,2,FALSE),"")</f>
        <v/>
      </c>
      <c r="G47" t="s">
        <v>3484</v>
      </c>
      <c r="H47" t="s">
        <v>3486</v>
      </c>
    </row>
    <row r="48" spans="1:8">
      <c r="A48" t="s">
        <v>4198</v>
      </c>
      <c r="B48" t="s">
        <v>4129</v>
      </c>
      <c r="C48" t="s">
        <v>289</v>
      </c>
      <c r="D48" t="s">
        <v>4131</v>
      </c>
      <c r="E48" t="str">
        <f>IFERROR(VLOOKUP(B48,[1]rmh!$A$3:$B$196,2,FALSE),"")</f>
        <v/>
      </c>
      <c r="G48" t="s">
        <v>3468</v>
      </c>
      <c r="H48" t="s">
        <v>3470</v>
      </c>
    </row>
    <row r="49" spans="1:8">
      <c r="A49" t="s">
        <v>4199</v>
      </c>
      <c r="B49" t="s">
        <v>4200</v>
      </c>
      <c r="C49" t="s">
        <v>376</v>
      </c>
      <c r="D49" t="s">
        <v>4201</v>
      </c>
      <c r="E49" t="str">
        <f>IFERROR(VLOOKUP(B49,[1]rmh!$A$3:$B$196,2,FALSE),"")</f>
        <v/>
      </c>
      <c r="G49" t="s">
        <v>3471</v>
      </c>
      <c r="H49" t="s">
        <v>3473</v>
      </c>
    </row>
    <row r="50" spans="1:8">
      <c r="A50" t="s">
        <v>4202</v>
      </c>
      <c r="B50" t="s">
        <v>4095</v>
      </c>
      <c r="C50" t="s">
        <v>4203</v>
      </c>
      <c r="D50" t="s">
        <v>4204</v>
      </c>
      <c r="E50" t="str">
        <f>IFERROR(VLOOKUP(B50,[1]rmh!$A$3:$B$196,2,FALSE),"")</f>
        <v/>
      </c>
      <c r="G50" t="s">
        <v>3656</v>
      </c>
      <c r="H50" t="s">
        <v>3657</v>
      </c>
    </row>
    <row r="51" spans="1:8">
      <c r="A51" t="s">
        <v>4205</v>
      </c>
      <c r="B51" t="s">
        <v>852</v>
      </c>
      <c r="C51" t="s">
        <v>4206</v>
      </c>
      <c r="D51" s="11" t="s">
        <v>4035</v>
      </c>
      <c r="E51" t="str">
        <f>IFERROR(VLOOKUP(B51,[1]rmh!$A$3:$B$196,2,FALSE),"")</f>
        <v>Electricity supply</v>
      </c>
      <c r="G51" t="s">
        <v>3658</v>
      </c>
      <c r="H51" t="s">
        <v>3659</v>
      </c>
    </row>
    <row r="52" spans="1:8">
      <c r="A52" t="s">
        <v>4207</v>
      </c>
      <c r="B52" t="s">
        <v>3931</v>
      </c>
      <c r="C52" t="s">
        <v>4208</v>
      </c>
      <c r="D52" s="11" t="s">
        <v>4045</v>
      </c>
      <c r="E52" t="str">
        <f>IFERROR(VLOOKUP(B52,[1]rmh!$A$3:$B$196,2,FALSE),"")</f>
        <v>Steam, air conditioning</v>
      </c>
      <c r="G52" s="22" t="s">
        <v>3660</v>
      </c>
      <c r="H52" s="23" t="s">
        <v>3661</v>
      </c>
    </row>
    <row r="53" spans="1:8">
      <c r="A53" t="s">
        <v>4209</v>
      </c>
      <c r="B53" t="s">
        <v>557</v>
      </c>
      <c r="C53" t="s">
        <v>4210</v>
      </c>
      <c r="D53" s="11" t="s">
        <v>557</v>
      </c>
      <c r="E53" t="str">
        <f>IFERROR(VLOOKUP(B53,[1]rmh!$A$3:$B$196,2,FALSE),"")</f>
        <v/>
      </c>
      <c r="G53" s="22"/>
      <c r="H53" s="23"/>
    </row>
    <row r="54" spans="1:8">
      <c r="A54" t="s">
        <v>4211</v>
      </c>
      <c r="B54" t="s">
        <v>4212</v>
      </c>
      <c r="C54" t="s">
        <v>4213</v>
      </c>
      <c r="D54" t="s">
        <v>4214</v>
      </c>
      <c r="E54" t="str">
        <f>IFERROR(VLOOKUP(B54,[1]rmh!$A$3:$B$196,2,FALSE),"")</f>
        <v/>
      </c>
      <c r="G54" s="22" t="s">
        <v>3474</v>
      </c>
      <c r="H54" s="23" t="s">
        <v>3476</v>
      </c>
    </row>
    <row r="55" spans="1:8">
      <c r="A55" t="s">
        <v>4215</v>
      </c>
      <c r="B55" t="s">
        <v>4122</v>
      </c>
      <c r="C55" t="s">
        <v>4216</v>
      </c>
      <c r="D55" s="11" t="s">
        <v>4124</v>
      </c>
      <c r="E55" t="str">
        <f>IFERROR(VLOOKUP(B55,[1]rmh!$A$3:$B$196,2,FALSE),"")</f>
        <v/>
      </c>
      <c r="G55" s="22" t="s">
        <v>3477</v>
      </c>
      <c r="H55" s="23" t="s">
        <v>3478</v>
      </c>
    </row>
    <row r="56" spans="1:8">
      <c r="A56" t="s">
        <v>4217</v>
      </c>
      <c r="B56" t="s">
        <v>432</v>
      </c>
      <c r="C56" t="s">
        <v>4218</v>
      </c>
      <c r="D56" t="s">
        <v>4115</v>
      </c>
      <c r="E56" t="str">
        <f>IFERROR(VLOOKUP(B56,[1]rmh!$A$3:$B$196,2,FALSE),"")</f>
        <v>Construction</v>
      </c>
      <c r="G56" s="22" t="s">
        <v>3477</v>
      </c>
      <c r="H56" s="23" t="s">
        <v>3478</v>
      </c>
    </row>
    <row r="57" spans="1:8">
      <c r="A57" t="s">
        <v>4219</v>
      </c>
      <c r="B57" t="s">
        <v>4180</v>
      </c>
      <c r="C57" t="s">
        <v>4220</v>
      </c>
      <c r="D57" s="18" t="s">
        <v>4221</v>
      </c>
      <c r="E57" t="str">
        <f>IFERROR(VLOOKUP(B57,[1]rmh!$A$3:$B$196,2,FALSE),"")</f>
        <v/>
      </c>
      <c r="G57" s="22" t="s">
        <v>3477</v>
      </c>
      <c r="H57" s="23" t="s">
        <v>3478</v>
      </c>
    </row>
    <row r="58" spans="1:8">
      <c r="A58" t="s">
        <v>4222</v>
      </c>
      <c r="B58" t="s">
        <v>557</v>
      </c>
      <c r="C58" t="s">
        <v>4223</v>
      </c>
      <c r="D58" s="11" t="s">
        <v>557</v>
      </c>
      <c r="E58" t="str">
        <f>IFERROR(VLOOKUP(B58,[1]rmh!$A$3:$B$196,2,FALSE),"")</f>
        <v/>
      </c>
      <c r="G58" s="22" t="s">
        <v>3477</v>
      </c>
      <c r="H58" s="23" t="s">
        <v>3478</v>
      </c>
    </row>
    <row r="59" spans="1:8">
      <c r="A59" t="s">
        <v>4224</v>
      </c>
      <c r="B59" t="s">
        <v>4225</v>
      </c>
      <c r="C59" t="s">
        <v>4226</v>
      </c>
      <c r="D59" t="s">
        <v>4227</v>
      </c>
      <c r="E59" t="str">
        <f>IFERROR(VLOOKUP(B59,[1]rmh!$A$3:$B$196,2,FALSE),"")</f>
        <v/>
      </c>
      <c r="G59" s="22" t="s">
        <v>3670</v>
      </c>
      <c r="H59" s="23" t="s">
        <v>3672</v>
      </c>
    </row>
    <row r="60" spans="1:8">
      <c r="A60" t="s">
        <v>4228</v>
      </c>
      <c r="B60" t="s">
        <v>557</v>
      </c>
      <c r="C60" t="s">
        <v>4229</v>
      </c>
      <c r="D60" s="11" t="s">
        <v>557</v>
      </c>
      <c r="E60" t="str">
        <f>IFERROR(VLOOKUP(B60,[1]rmh!$A$3:$B$196,2,FALSE),"")</f>
        <v/>
      </c>
      <c r="G60" s="22" t="s">
        <v>3477</v>
      </c>
      <c r="H60" s="23" t="s">
        <v>3478</v>
      </c>
    </row>
    <row r="61" spans="1:8">
      <c r="A61" t="s">
        <v>4230</v>
      </c>
      <c r="B61" t="s">
        <v>4129</v>
      </c>
      <c r="C61" t="s">
        <v>4231</v>
      </c>
      <c r="D61" t="s">
        <v>4131</v>
      </c>
      <c r="E61" t="str">
        <f>IFERROR(VLOOKUP(B61,[1]rmh!$A$3:$B$196,2,FALSE),"")</f>
        <v/>
      </c>
      <c r="G61" s="22" t="s">
        <v>3477</v>
      </c>
      <c r="H61" s="23" t="s">
        <v>3478</v>
      </c>
    </row>
    <row r="62" spans="1:8">
      <c r="A62" t="s">
        <v>4232</v>
      </c>
      <c r="B62" t="s">
        <v>4200</v>
      </c>
      <c r="C62" t="s">
        <v>4233</v>
      </c>
      <c r="D62" t="s">
        <v>4201</v>
      </c>
      <c r="E62" t="str">
        <f>IFERROR(VLOOKUP(B62,[1]rmh!$A$3:$B$196,2,FALSE),"")</f>
        <v/>
      </c>
      <c r="G62" s="22" t="s">
        <v>3477</v>
      </c>
      <c r="H62" s="23" t="s">
        <v>3478</v>
      </c>
    </row>
    <row r="63" spans="1:8">
      <c r="A63" t="s">
        <v>4234</v>
      </c>
      <c r="B63" t="s">
        <v>4212</v>
      </c>
      <c r="C63" t="s">
        <v>4235</v>
      </c>
      <c r="D63" t="s">
        <v>4214</v>
      </c>
      <c r="E63" t="str">
        <f>IFERROR(VLOOKUP(B63,[1]rmh!$A$3:$B$196,2,FALSE),"")</f>
        <v/>
      </c>
      <c r="G63" s="22" t="s">
        <v>3477</v>
      </c>
      <c r="H63" s="23" t="s">
        <v>3478</v>
      </c>
    </row>
    <row r="64" spans="1:8">
      <c r="A64" t="s">
        <v>4236</v>
      </c>
      <c r="B64" t="s">
        <v>4237</v>
      </c>
      <c r="C64" t="s">
        <v>4238</v>
      </c>
      <c r="D64" t="s">
        <v>4164</v>
      </c>
      <c r="E64" t="str">
        <f>IFERROR(VLOOKUP(B64,[1]rmh!$A$3:$B$196,2,FALSE),"")</f>
        <v/>
      </c>
      <c r="G64" s="22" t="s">
        <v>3477</v>
      </c>
      <c r="H64" s="23" t="s">
        <v>3478</v>
      </c>
    </row>
    <row r="65" spans="1:8">
      <c r="A65" t="s">
        <v>4239</v>
      </c>
      <c r="B65" t="s">
        <v>4240</v>
      </c>
      <c r="C65" t="s">
        <v>4241</v>
      </c>
      <c r="D65" s="11" t="s">
        <v>1710</v>
      </c>
      <c r="E65" t="str">
        <f>IFERROR(VLOOKUP(B65,[1]rmh!$A$3:$B$196,2,FALSE),"")</f>
        <v/>
      </c>
      <c r="G65" s="22" t="s">
        <v>3477</v>
      </c>
      <c r="H65" s="23" t="s">
        <v>3478</v>
      </c>
    </row>
    <row r="66" spans="1:8">
      <c r="A66" t="s">
        <v>4242</v>
      </c>
      <c r="B66" t="s">
        <v>557</v>
      </c>
      <c r="C66" t="s">
        <v>4243</v>
      </c>
      <c r="D66" s="11" t="s">
        <v>557</v>
      </c>
      <c r="E66" t="str">
        <f>IFERROR(VLOOKUP(B66,[1]rmh!$A$3:$B$196,2,FALSE),"")</f>
        <v/>
      </c>
      <c r="G66" s="22" t="s">
        <v>3511</v>
      </c>
      <c r="H66" s="23" t="s">
        <v>3512</v>
      </c>
    </row>
    <row r="67" spans="1:8">
      <c r="A67" t="s">
        <v>4244</v>
      </c>
      <c r="B67" t="s">
        <v>4245</v>
      </c>
      <c r="C67" t="s">
        <v>4246</v>
      </c>
      <c r="D67" t="s">
        <v>4247</v>
      </c>
      <c r="E67" t="str">
        <f>IFERROR(VLOOKUP(B67,[1]rmh!$A$3:$B$196,2,FALSE),"")</f>
        <v/>
      </c>
      <c r="G67" s="22" t="s">
        <v>3477</v>
      </c>
      <c r="H67" s="23" t="s">
        <v>3478</v>
      </c>
    </row>
    <row r="68" spans="1:8">
      <c r="A68" t="s">
        <v>4248</v>
      </c>
      <c r="B68" t="s">
        <v>4249</v>
      </c>
      <c r="C68" t="s">
        <v>4250</v>
      </c>
      <c r="D68" t="s">
        <v>4251</v>
      </c>
      <c r="E68" t="str">
        <f>IFERROR(VLOOKUP(B68,[1]rmh!$A$3:$B$196,2,FALSE),"")</f>
        <v/>
      </c>
      <c r="G68" s="22" t="s">
        <v>3477</v>
      </c>
      <c r="H68" s="23" t="s">
        <v>3478</v>
      </c>
    </row>
    <row r="69" spans="1:8">
      <c r="A69" t="s">
        <v>4252</v>
      </c>
      <c r="B69" t="s">
        <v>557</v>
      </c>
      <c r="C69" t="s">
        <v>4253</v>
      </c>
      <c r="D69" s="11" t="s">
        <v>557</v>
      </c>
      <c r="E69" t="str">
        <f>IFERROR(VLOOKUP(B69,[1]rmh!$A$3:$B$196,2,FALSE),"")</f>
        <v/>
      </c>
      <c r="G69" s="22" t="s">
        <v>3497</v>
      </c>
      <c r="H69" s="23" t="s">
        <v>3498</v>
      </c>
    </row>
    <row r="70" spans="1:8">
      <c r="A70" t="s">
        <v>4254</v>
      </c>
      <c r="B70" t="s">
        <v>444</v>
      </c>
      <c r="C70" t="s">
        <v>4255</v>
      </c>
      <c r="D70" t="s">
        <v>4256</v>
      </c>
      <c r="E70" t="str">
        <f>IFERROR(VLOOKUP(B70,[1]rmh!$A$3:$B$196,2,FALSE),"")</f>
        <v>Land transport</v>
      </c>
      <c r="G70" s="22" t="s">
        <v>3522</v>
      </c>
      <c r="H70" s="23" t="s">
        <v>3523</v>
      </c>
    </row>
    <row r="71" spans="1:8">
      <c r="A71" t="s">
        <v>4257</v>
      </c>
      <c r="B71" t="s">
        <v>4258</v>
      </c>
      <c r="C71" t="s">
        <v>4259</v>
      </c>
      <c r="D71" t="s">
        <v>4260</v>
      </c>
      <c r="E71" t="str">
        <f>IFERROR(VLOOKUP(B71,[1]rmh!$A$3:$B$196,2,FALSE),"")</f>
        <v/>
      </c>
      <c r="G71" s="22" t="s">
        <v>3477</v>
      </c>
      <c r="H71" s="23" t="s">
        <v>3478</v>
      </c>
    </row>
    <row r="72" spans="1:8">
      <c r="A72" t="s">
        <v>4261</v>
      </c>
      <c r="B72" t="s">
        <v>211</v>
      </c>
      <c r="C72" t="s">
        <v>4262</v>
      </c>
      <c r="D72" s="11" t="s">
        <v>1695</v>
      </c>
      <c r="E72" t="str">
        <f>IFERROR(VLOOKUP(B72,[1]rmh!$A$3:$B$196,2,FALSE),"")</f>
        <v>Wood</v>
      </c>
      <c r="G72" s="22" t="s">
        <v>3477</v>
      </c>
      <c r="H72" s="23" t="s">
        <v>3478</v>
      </c>
    </row>
    <row r="73" spans="1:8">
      <c r="A73" t="s">
        <v>4263</v>
      </c>
      <c r="B73" t="s">
        <v>4237</v>
      </c>
      <c r="C73" t="s">
        <v>3149</v>
      </c>
      <c r="D73" t="s">
        <v>4164</v>
      </c>
      <c r="E73" t="str">
        <f>IFERROR(VLOOKUP(B73,[1]rmh!$A$3:$B$196,2,FALSE),"")</f>
        <v/>
      </c>
      <c r="G73" s="22" t="s">
        <v>3479</v>
      </c>
      <c r="H73" s="23" t="s">
        <v>3481</v>
      </c>
    </row>
    <row r="74" spans="1:8">
      <c r="A74" t="s">
        <v>4264</v>
      </c>
      <c r="B74" t="s">
        <v>4240</v>
      </c>
      <c r="C74" t="s">
        <v>1665</v>
      </c>
      <c r="D74" s="11" t="s">
        <v>1710</v>
      </c>
      <c r="E74" t="str">
        <f>IFERROR(VLOOKUP(B74,[1]rmh!$A$3:$B$196,2,FALSE),"")</f>
        <v/>
      </c>
      <c r="G74" s="22" t="s">
        <v>3482</v>
      </c>
      <c r="H74" s="23" t="s">
        <v>3483</v>
      </c>
    </row>
    <row r="75" spans="1:8">
      <c r="A75" t="s">
        <v>3362</v>
      </c>
      <c r="B75" t="s">
        <v>513</v>
      </c>
      <c r="C75" t="s">
        <v>4265</v>
      </c>
      <c r="D75" s="11" t="s">
        <v>4081</v>
      </c>
      <c r="E75" t="str">
        <f>IFERROR(VLOOKUP(B75,[1]rmh!$A$3:$B$196,2,FALSE),"")</f>
        <v>Public administration, defense</v>
      </c>
      <c r="G75" s="22" t="s">
        <v>3514</v>
      </c>
      <c r="H75" s="23" t="s">
        <v>3515</v>
      </c>
    </row>
    <row r="76" spans="1:8">
      <c r="A76" t="s">
        <v>4266</v>
      </c>
      <c r="B76" t="s">
        <v>4245</v>
      </c>
      <c r="C76" t="s">
        <v>3840</v>
      </c>
      <c r="D76" t="s">
        <v>4247</v>
      </c>
      <c r="E76" t="str">
        <f>IFERROR(VLOOKUP(B76,[1]rmh!$A$3:$B$196,2,FALSE),"")</f>
        <v/>
      </c>
      <c r="G76" s="22" t="s">
        <v>3487</v>
      </c>
      <c r="H76" s="23" t="s">
        <v>3489</v>
      </c>
    </row>
    <row r="77" spans="1:8">
      <c r="A77" t="s">
        <v>4267</v>
      </c>
      <c r="B77" t="s">
        <v>444</v>
      </c>
      <c r="C77" t="s">
        <v>4268</v>
      </c>
      <c r="D77" t="s">
        <v>4256</v>
      </c>
      <c r="E77" t="str">
        <f>IFERROR(VLOOKUP(B77,[1]rmh!$A$3:$B$196,2,FALSE),"")</f>
        <v>Land transport</v>
      </c>
      <c r="G77" s="22" t="s">
        <v>3526</v>
      </c>
      <c r="H77" s="23" t="s">
        <v>3527</v>
      </c>
    </row>
    <row r="78" spans="1:8">
      <c r="A78" t="s">
        <v>4269</v>
      </c>
      <c r="B78" t="s">
        <v>444</v>
      </c>
      <c r="C78" t="s">
        <v>4270</v>
      </c>
      <c r="D78" t="s">
        <v>4271</v>
      </c>
      <c r="E78" t="str">
        <f>IFERROR(VLOOKUP(B78,[1]rmh!$A$3:$B$196,2,FALSE),"")</f>
        <v>Land transport</v>
      </c>
      <c r="G78" s="22" t="s">
        <v>3528</v>
      </c>
      <c r="H78" s="23" t="s">
        <v>3529</v>
      </c>
    </row>
    <row r="79" spans="1:8">
      <c r="A79" t="s">
        <v>4272</v>
      </c>
      <c r="B79" t="s">
        <v>543</v>
      </c>
      <c r="C79" t="s">
        <v>4273</v>
      </c>
      <c r="D79" t="s">
        <v>543</v>
      </c>
      <c r="E79" t="str">
        <f>IFERROR(VLOOKUP(B79,[1]rmh!$A$3:$B$196,2,FALSE),"")</f>
        <v>Household final consumption expenditure</v>
      </c>
      <c r="G79" s="22" t="s">
        <v>3509</v>
      </c>
      <c r="H79" s="23" t="s">
        <v>3510</v>
      </c>
    </row>
    <row r="80" spans="1:8">
      <c r="A80" t="s">
        <v>4274</v>
      </c>
      <c r="B80" t="s">
        <v>444</v>
      </c>
      <c r="C80" t="s">
        <v>4275</v>
      </c>
      <c r="D80" t="s">
        <v>4256</v>
      </c>
      <c r="E80" t="str">
        <f>IFERROR(VLOOKUP(B80,[1]rmh!$A$3:$B$196,2,FALSE),"")</f>
        <v>Land transport</v>
      </c>
      <c r="G80" s="22" t="s">
        <v>3530</v>
      </c>
      <c r="H80" s="23" t="s">
        <v>3532</v>
      </c>
    </row>
    <row r="81" spans="1:8">
      <c r="A81" t="s">
        <v>3616</v>
      </c>
      <c r="B81" t="s">
        <v>551</v>
      </c>
      <c r="C81" t="s">
        <v>3618</v>
      </c>
      <c r="D81" t="s">
        <v>551</v>
      </c>
      <c r="E81" t="str">
        <f>IFERROR(VLOOKUP(B81,[1]rmh!$A$3:$B$196,2,FALSE),"")</f>
        <v>Changes in inventories</v>
      </c>
      <c r="G81" s="22" t="s">
        <v>3616</v>
      </c>
      <c r="H81" s="23" t="s">
        <v>3618</v>
      </c>
    </row>
    <row r="82" spans="1:8">
      <c r="A82" t="s">
        <v>4276</v>
      </c>
      <c r="B82" t="s">
        <v>551</v>
      </c>
      <c r="C82" t="s">
        <v>4277</v>
      </c>
      <c r="D82" t="s">
        <v>551</v>
      </c>
      <c r="E82" t="str">
        <f>IFERROR(VLOOKUP(B82,[1]rmh!$A$3:$B$196,2,FALSE),"")</f>
        <v>Changes in inventories</v>
      </c>
      <c r="G82" s="22" t="s">
        <v>3619</v>
      </c>
      <c r="H82" s="23" t="s">
        <v>3621</v>
      </c>
    </row>
    <row r="83" spans="1:8">
      <c r="A83" t="s">
        <v>4278</v>
      </c>
      <c r="B83" t="s">
        <v>750</v>
      </c>
      <c r="C83" t="s">
        <v>4279</v>
      </c>
      <c r="D83" s="11" t="s">
        <v>4127</v>
      </c>
      <c r="E83" t="str">
        <f>IFERROR(VLOOKUP(B83,[1]rmh!$A$3:$B$196,2,FALSE),"")</f>
        <v>Briquettes and patent fuel</v>
      </c>
      <c r="G83" s="22" t="s">
        <v>3624</v>
      </c>
      <c r="H83" s="23" t="s">
        <v>3625</v>
      </c>
    </row>
    <row r="84" spans="1:8">
      <c r="A84" t="s">
        <v>4280</v>
      </c>
      <c r="B84" t="s">
        <v>4129</v>
      </c>
      <c r="C84" t="s">
        <v>4281</v>
      </c>
      <c r="D84" t="s">
        <v>4131</v>
      </c>
      <c r="E84" t="str">
        <f>IFERROR(VLOOKUP(B84,[1]rmh!$A$3:$B$196,2,FALSE),"")</f>
        <v/>
      </c>
      <c r="G84" s="22" t="s">
        <v>3622</v>
      </c>
      <c r="H84" s="23" t="s">
        <v>3623</v>
      </c>
    </row>
    <row r="85" spans="1:8">
      <c r="A85" t="s">
        <v>4282</v>
      </c>
      <c r="B85" t="s">
        <v>875</v>
      </c>
      <c r="C85" t="s">
        <v>4283</v>
      </c>
      <c r="D85" t="s">
        <v>4040</v>
      </c>
      <c r="E85" t="str">
        <f>IFERROR(VLOOKUP(B85,[1]rmh!$A$3:$B$196,2,FALSE),"")</f>
        <v>Gas supply</v>
      </c>
      <c r="G85" s="22" t="s">
        <v>3626</v>
      </c>
      <c r="H85" s="23" t="s">
        <v>4284</v>
      </c>
    </row>
    <row r="86" spans="1:8">
      <c r="A86" t="s">
        <v>4285</v>
      </c>
      <c r="B86" t="s">
        <v>852</v>
      </c>
      <c r="C86" t="s">
        <v>4286</v>
      </c>
      <c r="D86" s="11" t="s">
        <v>4035</v>
      </c>
      <c r="E86" t="str">
        <f>IFERROR(VLOOKUP(B86,[1]rmh!$A$3:$B$196,2,FALSE),"")</f>
        <v>Electricity supply</v>
      </c>
      <c r="G86" s="22" t="s">
        <v>3650</v>
      </c>
      <c r="H86" s="23" t="s">
        <v>3651</v>
      </c>
    </row>
    <row r="87" spans="1:8">
      <c r="A87" t="s">
        <v>4287</v>
      </c>
      <c r="B87" t="s">
        <v>4133</v>
      </c>
      <c r="C87" t="s">
        <v>4288</v>
      </c>
      <c r="D87" s="11" t="s">
        <v>4127</v>
      </c>
      <c r="E87" t="str">
        <f>IFERROR(VLOOKUP(B87,[1]rmh!$A$3:$B$196,2,FALSE),"")</f>
        <v/>
      </c>
      <c r="G87" s="22" t="s">
        <v>3632</v>
      </c>
      <c r="H87" s="23" t="s">
        <v>3633</v>
      </c>
    </row>
    <row r="88" spans="1:8">
      <c r="A88" t="s">
        <v>4289</v>
      </c>
      <c r="B88" t="s">
        <v>4133</v>
      </c>
      <c r="C88" t="s">
        <v>4290</v>
      </c>
      <c r="D88" s="11" t="s">
        <v>4127</v>
      </c>
      <c r="E88" t="str">
        <f>IFERROR(VLOOKUP(B88,[1]rmh!$A$3:$B$196,2,FALSE),"")</f>
        <v/>
      </c>
      <c r="G88" s="22" t="s">
        <v>3628</v>
      </c>
      <c r="H88" s="23" t="s">
        <v>3629</v>
      </c>
    </row>
    <row r="89" spans="1:8">
      <c r="A89" t="s">
        <v>4291</v>
      </c>
      <c r="B89" t="s">
        <v>224</v>
      </c>
      <c r="C89" t="s">
        <v>4292</v>
      </c>
      <c r="D89" s="11" t="s">
        <v>3411</v>
      </c>
      <c r="E89" t="str">
        <f>IFERROR(VLOOKUP(B89,[1]rmh!$A$3:$B$196,2,FALSE),"")</f>
        <v>Coke oven products</v>
      </c>
      <c r="G89" s="22" t="s">
        <v>3630</v>
      </c>
      <c r="H89" s="23" t="s">
        <v>3631</v>
      </c>
    </row>
    <row r="90" spans="1:8">
      <c r="A90" t="s">
        <v>4293</v>
      </c>
      <c r="B90" t="s">
        <v>852</v>
      </c>
      <c r="C90" t="s">
        <v>4294</v>
      </c>
      <c r="D90" s="11" t="s">
        <v>4035</v>
      </c>
      <c r="E90" t="str">
        <f>IFERROR(VLOOKUP(B90,[1]rmh!$A$3:$B$196,2,FALSE),"")</f>
        <v>Electricity supply</v>
      </c>
      <c r="G90" s="22" t="s">
        <v>3643</v>
      </c>
      <c r="H90" s="23" t="s">
        <v>3644</v>
      </c>
    </row>
    <row r="91" spans="1:8">
      <c r="A91" t="s">
        <v>4295</v>
      </c>
      <c r="B91" t="s">
        <v>557</v>
      </c>
      <c r="C91" t="s">
        <v>3609</v>
      </c>
      <c r="D91" s="11" t="s">
        <v>557</v>
      </c>
      <c r="E91" t="str">
        <f>IFERROR(VLOOKUP(B91,[1]rmh!$A$3:$B$196,2,FALSE),"")</f>
        <v/>
      </c>
      <c r="G91" s="22" t="s">
        <v>3608</v>
      </c>
      <c r="H91" s="23" t="s">
        <v>3609</v>
      </c>
    </row>
    <row r="92" spans="1:8">
      <c r="A92" t="s">
        <v>4296</v>
      </c>
      <c r="B92" t="s">
        <v>4249</v>
      </c>
      <c r="C92" t="s">
        <v>4297</v>
      </c>
      <c r="D92" t="s">
        <v>4251</v>
      </c>
      <c r="E92" t="str">
        <f>IFERROR(VLOOKUP(B92,[1]rmh!$A$3:$B$196,2,FALSE),"")</f>
        <v/>
      </c>
      <c r="G92" s="22" t="s">
        <v>3493</v>
      </c>
      <c r="H92" s="23" t="s">
        <v>3494</v>
      </c>
    </row>
    <row r="93" spans="1:8">
      <c r="A93" t="s">
        <v>4298</v>
      </c>
      <c r="B93" t="s">
        <v>557</v>
      </c>
      <c r="C93" t="s">
        <v>4299</v>
      </c>
      <c r="D93" s="11" t="s">
        <v>557</v>
      </c>
      <c r="E93" t="str">
        <f>IFERROR(VLOOKUP(B93,[1]rmh!$A$3:$B$196,2,FALSE),"")</f>
        <v/>
      </c>
      <c r="G93" s="22" t="s">
        <v>3453</v>
      </c>
      <c r="H93" s="23" t="s">
        <v>3454</v>
      </c>
    </row>
    <row r="94" spans="1:8">
      <c r="A94" t="s">
        <v>4300</v>
      </c>
      <c r="B94" t="s">
        <v>875</v>
      </c>
      <c r="C94" t="s">
        <v>4301</v>
      </c>
      <c r="D94" t="s">
        <v>4040</v>
      </c>
      <c r="E94" t="str">
        <f>IFERROR(VLOOKUP(B94,[1]rmh!$A$3:$B$196,2,FALSE),"")</f>
        <v>Gas supply</v>
      </c>
      <c r="G94" s="22" t="s">
        <v>3664</v>
      </c>
      <c r="H94" s="23" t="s">
        <v>3665</v>
      </c>
    </row>
    <row r="95" spans="1:8">
      <c r="A95" t="s">
        <v>4302</v>
      </c>
      <c r="B95" t="s">
        <v>4133</v>
      </c>
      <c r="C95" t="s">
        <v>4303</v>
      </c>
      <c r="D95" s="11" t="s">
        <v>4127</v>
      </c>
      <c r="E95" t="str">
        <f>IFERROR(VLOOKUP(B95,[1]rmh!$A$3:$B$196,2,FALSE),"")</f>
        <v/>
      </c>
      <c r="G95" s="22" t="s">
        <v>3662</v>
      </c>
      <c r="H95" s="23" t="s">
        <v>3663</v>
      </c>
    </row>
    <row r="96" spans="1:8">
      <c r="A96" t="s">
        <v>4304</v>
      </c>
      <c r="B96" t="s">
        <v>4048</v>
      </c>
      <c r="C96" t="s">
        <v>4305</v>
      </c>
      <c r="D96" s="11" t="s">
        <v>4045</v>
      </c>
      <c r="E96" t="str">
        <f>IFERROR(VLOOKUP(B96,[1]rmh!$A$3:$B$196,2,FALSE),"")</f>
        <v>Ambient heat (heat pumps)</v>
      </c>
      <c r="G96" s="22" t="s">
        <v>3652</v>
      </c>
      <c r="H96" s="23" t="s">
        <v>3653</v>
      </c>
    </row>
    <row r="97" spans="1:8">
      <c r="A97" t="s">
        <v>4306</v>
      </c>
      <c r="B97" t="s">
        <v>852</v>
      </c>
      <c r="C97" t="s">
        <v>4307</v>
      </c>
      <c r="D97" s="11" t="s">
        <v>4035</v>
      </c>
      <c r="E97" t="str">
        <f>IFERROR(VLOOKUP(B97,[1]rmh!$A$3:$B$196,2,FALSE),"")</f>
        <v>Electricity supply</v>
      </c>
      <c r="G97" s="22" t="s">
        <v>3674</v>
      </c>
      <c r="H97" s="23" t="s">
        <v>3675</v>
      </c>
    </row>
    <row r="98" spans="1:8">
      <c r="A98" t="s">
        <v>4308</v>
      </c>
      <c r="B98" t="s">
        <v>557</v>
      </c>
      <c r="C98" t="s">
        <v>4309</v>
      </c>
      <c r="D98" s="11" t="s">
        <v>557</v>
      </c>
      <c r="E98" t="str">
        <f>IFERROR(VLOOKUP(B98,[1]rmh!$A$3:$B$196,2,FALSE),"")</f>
        <v/>
      </c>
      <c r="G98" s="22" t="s">
        <v>3584</v>
      </c>
      <c r="H98" s="23" t="s">
        <v>3585</v>
      </c>
    </row>
    <row r="99" spans="1:8">
      <c r="A99" t="s">
        <v>4310</v>
      </c>
      <c r="B99" t="s">
        <v>557</v>
      </c>
      <c r="C99" t="s">
        <v>4311</v>
      </c>
      <c r="D99" s="11" t="s">
        <v>557</v>
      </c>
      <c r="E99" t="str">
        <f>IFERROR(VLOOKUP(B99,[1]rmh!$A$3:$B$196,2,FALSE),"")</f>
        <v/>
      </c>
      <c r="G99" s="22" t="s">
        <v>3464</v>
      </c>
      <c r="H99" s="23" t="s">
        <v>3465</v>
      </c>
    </row>
    <row r="100" spans="1:8">
      <c r="A100" t="s">
        <v>4312</v>
      </c>
      <c r="B100" t="s">
        <v>557</v>
      </c>
      <c r="C100" t="s">
        <v>4313</v>
      </c>
      <c r="D100" s="11" t="s">
        <v>557</v>
      </c>
      <c r="E100" t="str">
        <f>IFERROR(VLOOKUP(B100,[1]rmh!$A$3:$B$196,2,FALSE),"")</f>
        <v/>
      </c>
      <c r="G100" s="22" t="s">
        <v>3634</v>
      </c>
      <c r="H100" s="23" t="s">
        <v>3635</v>
      </c>
    </row>
    <row r="101" spans="1:8">
      <c r="A101" t="s">
        <v>4314</v>
      </c>
      <c r="B101" t="s">
        <v>557</v>
      </c>
      <c r="C101" t="s">
        <v>4315</v>
      </c>
      <c r="D101" s="11" t="s">
        <v>557</v>
      </c>
      <c r="E101" t="str">
        <f>IFERROR(VLOOKUP(B101,[1]rmh!$A$3:$B$196,2,FALSE),"")</f>
        <v/>
      </c>
      <c r="G101" s="22" t="s">
        <v>3520</v>
      </c>
      <c r="H101" s="23" t="s">
        <v>3521</v>
      </c>
    </row>
    <row r="102" spans="1:8">
      <c r="A102" t="s">
        <v>4316</v>
      </c>
      <c r="B102" t="s">
        <v>750</v>
      </c>
      <c r="C102" t="s">
        <v>4317</v>
      </c>
      <c r="D102" s="11" t="s">
        <v>4127</v>
      </c>
      <c r="E102" t="str">
        <f>IFERROR(VLOOKUP(B102,[1]rmh!$A$3:$B$196,2,FALSE),"")</f>
        <v>Briquettes and patent fuel</v>
      </c>
      <c r="G102" s="22" t="s">
        <v>3676</v>
      </c>
      <c r="H102" s="23" t="s">
        <v>3677</v>
      </c>
    </row>
    <row r="103" spans="1:8">
      <c r="A103" t="s">
        <v>4318</v>
      </c>
      <c r="B103" t="s">
        <v>4133</v>
      </c>
      <c r="C103" t="s">
        <v>4319</v>
      </c>
      <c r="D103" s="11" t="s">
        <v>4127</v>
      </c>
      <c r="E103" t="str">
        <f>IFERROR(VLOOKUP(B103,[1]rmh!$A$3:$B$196,2,FALSE),"")</f>
        <v/>
      </c>
      <c r="G103" s="22" t="s">
        <v>3686</v>
      </c>
      <c r="H103" s="23" t="s">
        <v>3687</v>
      </c>
    </row>
    <row r="104" spans="1:8">
      <c r="A104" t="s">
        <v>4320</v>
      </c>
      <c r="B104" t="s">
        <v>4258</v>
      </c>
      <c r="C104" t="s">
        <v>3240</v>
      </c>
      <c r="D104" s="11" t="s">
        <v>4260</v>
      </c>
      <c r="E104" t="str">
        <f>IFERROR(VLOOKUP(B104,[1]rmh!$A$3:$B$196,2,FALSE),"")</f>
        <v/>
      </c>
      <c r="G104" s="22" t="s">
        <v>3490</v>
      </c>
      <c r="H104" s="23" t="s">
        <v>3492</v>
      </c>
    </row>
    <row r="105" spans="1:8">
      <c r="A105" t="s">
        <v>4321</v>
      </c>
      <c r="B105" t="s">
        <v>4133</v>
      </c>
      <c r="C105" t="s">
        <v>4322</v>
      </c>
      <c r="D105" s="11" t="s">
        <v>4127</v>
      </c>
      <c r="E105" t="str">
        <f>IFERROR(VLOOKUP(B105,[1]rmh!$A$3:$B$196,2,FALSE),"")</f>
        <v/>
      </c>
      <c r="G105" s="22" t="s">
        <v>3688</v>
      </c>
      <c r="H105" s="23" t="s">
        <v>3689</v>
      </c>
    </row>
    <row r="106" spans="1:8">
      <c r="A106" t="s">
        <v>4323</v>
      </c>
      <c r="B106" t="s">
        <v>4133</v>
      </c>
      <c r="C106" t="s">
        <v>4324</v>
      </c>
      <c r="D106" s="11" t="s">
        <v>4127</v>
      </c>
      <c r="E106" t="str">
        <f>IFERROR(VLOOKUP(B106,[1]rmh!$A$3:$B$196,2,FALSE),"")</f>
        <v/>
      </c>
      <c r="G106" s="22" t="s">
        <v>3690</v>
      </c>
      <c r="H106" s="23" t="s">
        <v>3691</v>
      </c>
    </row>
    <row r="107" spans="1:8">
      <c r="A107" t="s">
        <v>4325</v>
      </c>
      <c r="B107" t="s">
        <v>444</v>
      </c>
      <c r="C107" t="s">
        <v>4326</v>
      </c>
      <c r="D107" t="s">
        <v>4256</v>
      </c>
      <c r="E107" t="str">
        <f>IFERROR(VLOOKUP(B107,[1]rmh!$A$3:$B$196,2,FALSE),"")</f>
        <v>Land transport</v>
      </c>
      <c r="G107" s="22" t="s">
        <v>3524</v>
      </c>
      <c r="H107" s="23" t="s">
        <v>3525</v>
      </c>
    </row>
    <row r="108" spans="1:8">
      <c r="A108" t="s">
        <v>4327</v>
      </c>
      <c r="B108" t="s">
        <v>211</v>
      </c>
      <c r="C108" t="s">
        <v>4328</v>
      </c>
      <c r="D108" s="11" t="s">
        <v>1695</v>
      </c>
      <c r="E108" t="str">
        <f>IFERROR(VLOOKUP(B108,[1]rmh!$A$3:$B$196,2,FALSE),"")</f>
        <v>Wood</v>
      </c>
      <c r="G108" s="22" t="s">
        <v>3495</v>
      </c>
      <c r="H108" s="23" t="s">
        <v>3496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H95"/>
  <sheetViews>
    <sheetView zoomScaleNormal="100" workbookViewId="0">
      <pane ySplit="2" topLeftCell="A3" activePane="bottomLeft" state="frozen"/>
      <selection pane="bottomLeft" activeCell="O26" sqref="O26"/>
    </sheetView>
  </sheetViews>
  <sheetFormatPr defaultColWidth="10.6640625" defaultRowHeight="13.8"/>
  <cols>
    <col min="1" max="1" width="26.44140625" customWidth="1"/>
    <col min="3" max="3" width="26.44140625" customWidth="1"/>
    <col min="4" max="4" width="12.109375" customWidth="1"/>
    <col min="5" max="5" width="13.88671875" customWidth="1"/>
    <col min="6" max="6" width="29.6640625" customWidth="1"/>
    <col min="7" max="7" width="38" customWidth="1"/>
  </cols>
  <sheetData>
    <row r="2" spans="1:8" ht="14.4">
      <c r="A2" s="2" t="s">
        <v>656</v>
      </c>
      <c r="B2" s="2" t="s">
        <v>2</v>
      </c>
      <c r="C2" s="2" t="s">
        <v>1</v>
      </c>
      <c r="D2" s="2" t="s">
        <v>3451</v>
      </c>
      <c r="E2" s="2" t="s">
        <v>655</v>
      </c>
      <c r="F2" s="2" t="s">
        <v>657</v>
      </c>
      <c r="G2" s="2" t="s">
        <v>3</v>
      </c>
    </row>
    <row r="3" spans="1:8">
      <c r="A3" t="s">
        <v>3757</v>
      </c>
      <c r="B3" t="s">
        <v>417</v>
      </c>
      <c r="C3" t="s">
        <v>417</v>
      </c>
      <c r="E3" t="s">
        <v>3758</v>
      </c>
      <c r="F3" t="s">
        <v>3759</v>
      </c>
      <c r="G3" t="s">
        <v>3286</v>
      </c>
      <c r="H3" t="s">
        <v>3760</v>
      </c>
    </row>
    <row r="4" spans="1:8" ht="14.4">
      <c r="A4" t="s">
        <v>660</v>
      </c>
      <c r="B4" t="s">
        <v>557</v>
      </c>
      <c r="C4" t="s">
        <v>557</v>
      </c>
      <c r="E4" t="s">
        <v>557</v>
      </c>
      <c r="F4" t="s">
        <v>661</v>
      </c>
      <c r="G4" s="10"/>
    </row>
    <row r="5" spans="1:8">
      <c r="A5" t="s">
        <v>3761</v>
      </c>
      <c r="B5" t="s">
        <v>557</v>
      </c>
      <c r="C5" t="s">
        <v>557</v>
      </c>
      <c r="E5" t="s">
        <v>557</v>
      </c>
      <c r="F5" t="s">
        <v>3762</v>
      </c>
    </row>
    <row r="6" spans="1:8">
      <c r="A6" t="s">
        <v>701</v>
      </c>
      <c r="B6" t="s">
        <v>557</v>
      </c>
      <c r="C6" t="s">
        <v>557</v>
      </c>
      <c r="E6" t="s">
        <v>557</v>
      </c>
      <c r="F6" t="s">
        <v>70</v>
      </c>
      <c r="H6" t="s">
        <v>3763</v>
      </c>
    </row>
    <row r="7" spans="1:8">
      <c r="A7" t="s">
        <v>704</v>
      </c>
      <c r="B7" t="s">
        <v>69</v>
      </c>
      <c r="C7" t="s">
        <v>68</v>
      </c>
      <c r="D7" t="s">
        <v>3764</v>
      </c>
      <c r="E7" t="s">
        <v>1657</v>
      </c>
      <c r="F7" t="s">
        <v>703</v>
      </c>
      <c r="G7" t="s">
        <v>70</v>
      </c>
    </row>
    <row r="8" spans="1:8">
      <c r="A8" t="s">
        <v>707</v>
      </c>
      <c r="B8" t="s">
        <v>69</v>
      </c>
      <c r="C8" t="s">
        <v>68</v>
      </c>
      <c r="D8" t="s">
        <v>3764</v>
      </c>
      <c r="E8" t="s">
        <v>1657</v>
      </c>
      <c r="F8" t="s">
        <v>706</v>
      </c>
      <c r="G8" t="s">
        <v>70</v>
      </c>
    </row>
    <row r="9" spans="1:8">
      <c r="A9" t="s">
        <v>710</v>
      </c>
      <c r="B9" t="s">
        <v>69</v>
      </c>
      <c r="C9" t="s">
        <v>68</v>
      </c>
      <c r="D9" t="s">
        <v>3764</v>
      </c>
      <c r="E9" t="s">
        <v>1657</v>
      </c>
      <c r="F9" t="s">
        <v>709</v>
      </c>
      <c r="G9" t="s">
        <v>70</v>
      </c>
    </row>
    <row r="10" spans="1:8">
      <c r="A10" t="s">
        <v>713</v>
      </c>
      <c r="B10" t="s">
        <v>557</v>
      </c>
      <c r="C10" t="s">
        <v>557</v>
      </c>
      <c r="E10" t="s">
        <v>557</v>
      </c>
      <c r="F10" t="s">
        <v>714</v>
      </c>
      <c r="H10" t="s">
        <v>3763</v>
      </c>
    </row>
    <row r="11" spans="1:8">
      <c r="A11" t="s">
        <v>717</v>
      </c>
      <c r="B11" t="s">
        <v>69</v>
      </c>
      <c r="C11" t="s">
        <v>68</v>
      </c>
      <c r="D11" t="s">
        <v>3765</v>
      </c>
      <c r="E11" t="s">
        <v>1656</v>
      </c>
      <c r="F11" t="s">
        <v>716</v>
      </c>
      <c r="G11" t="s">
        <v>70</v>
      </c>
    </row>
    <row r="12" spans="1:8">
      <c r="A12" t="s">
        <v>719</v>
      </c>
      <c r="B12" t="s">
        <v>72</v>
      </c>
      <c r="C12" t="s">
        <v>71</v>
      </c>
      <c r="D12" t="s">
        <v>3765</v>
      </c>
      <c r="E12" t="s">
        <v>1656</v>
      </c>
      <c r="F12" t="s">
        <v>73</v>
      </c>
      <c r="G12" t="s">
        <v>73</v>
      </c>
    </row>
    <row r="13" spans="1:8">
      <c r="A13" t="s">
        <v>734</v>
      </c>
      <c r="B13" t="s">
        <v>224</v>
      </c>
      <c r="C13" t="s">
        <v>223</v>
      </c>
      <c r="D13" t="s">
        <v>3902</v>
      </c>
      <c r="E13" t="s">
        <v>1657</v>
      </c>
      <c r="F13" t="s">
        <v>735</v>
      </c>
      <c r="G13" t="s">
        <v>225</v>
      </c>
    </row>
    <row r="14" spans="1:8">
      <c r="A14" t="s">
        <v>738</v>
      </c>
      <c r="B14" t="s">
        <v>224</v>
      </c>
      <c r="C14" t="s">
        <v>223</v>
      </c>
      <c r="D14" t="s">
        <v>3902</v>
      </c>
      <c r="E14" t="s">
        <v>1657</v>
      </c>
      <c r="F14" t="s">
        <v>739</v>
      </c>
      <c r="G14" t="s">
        <v>225</v>
      </c>
    </row>
    <row r="15" spans="1:8">
      <c r="A15" t="s">
        <v>752</v>
      </c>
      <c r="B15" t="s">
        <v>227</v>
      </c>
      <c r="C15" t="s">
        <v>226</v>
      </c>
      <c r="D15" t="s">
        <v>3903</v>
      </c>
      <c r="E15" t="s">
        <v>1657</v>
      </c>
      <c r="F15" t="s">
        <v>751</v>
      </c>
      <c r="G15" t="s">
        <v>1702</v>
      </c>
    </row>
    <row r="16" spans="1:8">
      <c r="A16" t="s">
        <v>755</v>
      </c>
      <c r="B16" t="s">
        <v>227</v>
      </c>
      <c r="C16" t="s">
        <v>226</v>
      </c>
      <c r="D16" t="s">
        <v>3903</v>
      </c>
      <c r="E16" t="s">
        <v>1656</v>
      </c>
      <c r="F16" t="s">
        <v>756</v>
      </c>
      <c r="G16" t="s">
        <v>1702</v>
      </c>
    </row>
    <row r="17" spans="1:8">
      <c r="A17" t="s">
        <v>742</v>
      </c>
      <c r="B17" t="s">
        <v>224</v>
      </c>
      <c r="C17" t="s">
        <v>223</v>
      </c>
      <c r="D17" t="s">
        <v>3902</v>
      </c>
      <c r="E17" t="s">
        <v>1657</v>
      </c>
      <c r="F17" t="s">
        <v>741</v>
      </c>
      <c r="G17" t="s">
        <v>225</v>
      </c>
    </row>
    <row r="18" spans="1:8">
      <c r="A18" t="s">
        <v>745</v>
      </c>
      <c r="B18" t="s">
        <v>224</v>
      </c>
      <c r="C18" t="s">
        <v>223</v>
      </c>
      <c r="D18" t="s">
        <v>3902</v>
      </c>
      <c r="E18" t="s">
        <v>1659</v>
      </c>
      <c r="F18" t="s">
        <v>744</v>
      </c>
      <c r="G18" t="s">
        <v>225</v>
      </c>
    </row>
    <row r="19" spans="1:8">
      <c r="A19" t="s">
        <v>664</v>
      </c>
      <c r="B19" t="s">
        <v>557</v>
      </c>
      <c r="C19" t="s">
        <v>557</v>
      </c>
      <c r="E19" t="s">
        <v>557</v>
      </c>
      <c r="F19" t="s">
        <v>665</v>
      </c>
    </row>
    <row r="20" spans="1:8">
      <c r="A20" t="s">
        <v>877</v>
      </c>
      <c r="B20" t="s">
        <v>557</v>
      </c>
      <c r="C20" t="s">
        <v>557</v>
      </c>
      <c r="D20" t="s">
        <v>3192</v>
      </c>
      <c r="E20" t="s">
        <v>1659</v>
      </c>
      <c r="F20" t="s">
        <v>876</v>
      </c>
    </row>
    <row r="21" spans="1:8">
      <c r="A21" t="s">
        <v>668</v>
      </c>
      <c r="B21" t="s">
        <v>557</v>
      </c>
      <c r="C21" t="s">
        <v>557</v>
      </c>
      <c r="E21" t="s">
        <v>1659</v>
      </c>
      <c r="F21" t="s">
        <v>667</v>
      </c>
    </row>
    <row r="22" spans="1:8">
      <c r="A22" t="s">
        <v>671</v>
      </c>
      <c r="B22" t="s">
        <v>557</v>
      </c>
      <c r="C22" t="s">
        <v>557</v>
      </c>
      <c r="E22" t="s">
        <v>1659</v>
      </c>
      <c r="F22" t="s">
        <v>670</v>
      </c>
    </row>
    <row r="23" spans="1:8">
      <c r="A23" t="s">
        <v>854</v>
      </c>
      <c r="B23" t="s">
        <v>417</v>
      </c>
      <c r="C23" t="s">
        <v>416</v>
      </c>
      <c r="D23" t="s">
        <v>4345</v>
      </c>
      <c r="E23" t="s">
        <v>3766</v>
      </c>
      <c r="F23" t="s">
        <v>853</v>
      </c>
      <c r="G23" t="s">
        <v>3286</v>
      </c>
    </row>
    <row r="24" spans="1:8">
      <c r="A24" t="s">
        <v>3767</v>
      </c>
      <c r="B24" t="s">
        <v>557</v>
      </c>
      <c r="C24" t="s">
        <v>557</v>
      </c>
      <c r="E24" t="s">
        <v>557</v>
      </c>
      <c r="F24" t="s">
        <v>3768</v>
      </c>
    </row>
    <row r="25" spans="1:8">
      <c r="A25" t="s">
        <v>731</v>
      </c>
      <c r="B25" t="s">
        <v>81</v>
      </c>
      <c r="C25" t="s">
        <v>80</v>
      </c>
      <c r="D25" t="s">
        <v>4346</v>
      </c>
      <c r="E25" t="s">
        <v>1659</v>
      </c>
      <c r="F25" t="s">
        <v>82</v>
      </c>
      <c r="G25" t="s">
        <v>3283</v>
      </c>
    </row>
    <row r="26" spans="1:8">
      <c r="A26" t="s">
        <v>3769</v>
      </c>
      <c r="B26" t="s">
        <v>557</v>
      </c>
      <c r="C26" t="s">
        <v>557</v>
      </c>
      <c r="E26" t="s">
        <v>557</v>
      </c>
      <c r="F26" t="s">
        <v>3770</v>
      </c>
      <c r="H26" t="s">
        <v>3771</v>
      </c>
    </row>
    <row r="27" spans="1:8">
      <c r="A27" t="s">
        <v>880</v>
      </c>
      <c r="B27" t="s">
        <v>423</v>
      </c>
      <c r="C27" t="s">
        <v>422</v>
      </c>
      <c r="D27" t="s">
        <v>4347</v>
      </c>
      <c r="E27" t="s">
        <v>3766</v>
      </c>
      <c r="F27" t="s">
        <v>879</v>
      </c>
      <c r="G27" t="s">
        <v>3772</v>
      </c>
    </row>
    <row r="28" spans="1:8">
      <c r="A28" t="s">
        <v>849</v>
      </c>
      <c r="B28" t="s">
        <v>333</v>
      </c>
      <c r="C28" t="s">
        <v>332</v>
      </c>
      <c r="D28" t="s">
        <v>4348</v>
      </c>
      <c r="E28" t="s">
        <v>1653</v>
      </c>
      <c r="F28" t="s">
        <v>850</v>
      </c>
      <c r="G28" t="s">
        <v>3289</v>
      </c>
    </row>
    <row r="29" spans="1:8">
      <c r="A29" t="s">
        <v>3773</v>
      </c>
      <c r="B29" t="s">
        <v>557</v>
      </c>
      <c r="C29" t="s">
        <v>557</v>
      </c>
      <c r="E29" t="s">
        <v>557</v>
      </c>
      <c r="F29" t="s">
        <v>3774</v>
      </c>
    </row>
    <row r="30" spans="1:8">
      <c r="A30" t="s">
        <v>3775</v>
      </c>
      <c r="B30" t="s">
        <v>557</v>
      </c>
      <c r="C30" t="s">
        <v>557</v>
      </c>
      <c r="E30" t="s">
        <v>557</v>
      </c>
      <c r="F30" t="s">
        <v>3776</v>
      </c>
    </row>
    <row r="31" spans="1:8">
      <c r="A31" t="s">
        <v>722</v>
      </c>
      <c r="B31" t="s">
        <v>75</v>
      </c>
      <c r="C31" t="s">
        <v>74</v>
      </c>
      <c r="D31" t="s">
        <v>4349</v>
      </c>
      <c r="E31" t="s">
        <v>1658</v>
      </c>
      <c r="F31" t="s">
        <v>721</v>
      </c>
      <c r="G31" t="s">
        <v>3282</v>
      </c>
    </row>
    <row r="32" spans="1:8">
      <c r="A32" t="s">
        <v>674</v>
      </c>
      <c r="B32" t="s">
        <v>557</v>
      </c>
      <c r="C32" t="s">
        <v>557</v>
      </c>
      <c r="E32" t="s">
        <v>557</v>
      </c>
      <c r="F32" t="s">
        <v>3777</v>
      </c>
    </row>
    <row r="33" spans="1:7">
      <c r="A33" t="s">
        <v>3778</v>
      </c>
      <c r="B33" t="s">
        <v>557</v>
      </c>
      <c r="C33" t="s">
        <v>557</v>
      </c>
      <c r="E33" t="s">
        <v>557</v>
      </c>
      <c r="F33" t="s">
        <v>3779</v>
      </c>
    </row>
    <row r="34" spans="1:7">
      <c r="A34" t="s">
        <v>725</v>
      </c>
      <c r="B34" t="s">
        <v>75</v>
      </c>
      <c r="C34" t="s">
        <v>74</v>
      </c>
      <c r="D34" t="s">
        <v>4349</v>
      </c>
      <c r="E34" t="s">
        <v>1658</v>
      </c>
      <c r="F34" t="s">
        <v>724</v>
      </c>
      <c r="G34" t="s">
        <v>3282</v>
      </c>
    </row>
    <row r="35" spans="1:7">
      <c r="A35" t="s">
        <v>748</v>
      </c>
      <c r="B35" t="s">
        <v>227</v>
      </c>
      <c r="C35" t="s">
        <v>226</v>
      </c>
      <c r="D35" t="s">
        <v>3903</v>
      </c>
      <c r="E35" t="s">
        <v>1658</v>
      </c>
      <c r="F35" t="s">
        <v>747</v>
      </c>
      <c r="G35" t="s">
        <v>1702</v>
      </c>
    </row>
    <row r="36" spans="1:7">
      <c r="A36" t="s">
        <v>787</v>
      </c>
      <c r="B36" t="s">
        <v>557</v>
      </c>
      <c r="C36" t="s">
        <v>557</v>
      </c>
      <c r="E36" t="s">
        <v>557</v>
      </c>
      <c r="F36" t="s">
        <v>788</v>
      </c>
    </row>
    <row r="37" spans="1:7">
      <c r="A37" t="s">
        <v>3780</v>
      </c>
      <c r="B37" t="s">
        <v>227</v>
      </c>
      <c r="C37" t="s">
        <v>226</v>
      </c>
      <c r="D37" t="s">
        <v>3903</v>
      </c>
      <c r="E37" t="s">
        <v>1658</v>
      </c>
      <c r="F37" t="s">
        <v>3781</v>
      </c>
      <c r="G37" t="s">
        <v>1702</v>
      </c>
    </row>
    <row r="38" spans="1:7">
      <c r="A38" t="s">
        <v>791</v>
      </c>
      <c r="B38" t="s">
        <v>227</v>
      </c>
      <c r="C38" t="s">
        <v>226</v>
      </c>
      <c r="D38" t="s">
        <v>3903</v>
      </c>
      <c r="E38" t="s">
        <v>1658</v>
      </c>
      <c r="F38" t="s">
        <v>790</v>
      </c>
      <c r="G38" t="s">
        <v>1702</v>
      </c>
    </row>
    <row r="39" spans="1:7">
      <c r="A39" t="s">
        <v>3782</v>
      </c>
      <c r="B39" t="s">
        <v>557</v>
      </c>
      <c r="C39" t="s">
        <v>557</v>
      </c>
      <c r="E39" t="s">
        <v>557</v>
      </c>
      <c r="F39" t="s">
        <v>3783</v>
      </c>
    </row>
    <row r="40" spans="1:7">
      <c r="A40" t="s">
        <v>3784</v>
      </c>
      <c r="B40" t="s">
        <v>557</v>
      </c>
      <c r="C40" t="s">
        <v>557</v>
      </c>
      <c r="E40" t="s">
        <v>3785</v>
      </c>
      <c r="F40" t="s">
        <v>3786</v>
      </c>
    </row>
    <row r="41" spans="1:7">
      <c r="A41" t="s">
        <v>794</v>
      </c>
      <c r="B41" t="s">
        <v>227</v>
      </c>
      <c r="C41" t="s">
        <v>226</v>
      </c>
      <c r="D41" t="s">
        <v>3903</v>
      </c>
      <c r="E41" t="s">
        <v>1658</v>
      </c>
      <c r="F41" t="s">
        <v>793</v>
      </c>
      <c r="G41" t="s">
        <v>1702</v>
      </c>
    </row>
    <row r="42" spans="1:7">
      <c r="A42" t="s">
        <v>797</v>
      </c>
      <c r="B42" t="s">
        <v>227</v>
      </c>
      <c r="C42" t="s">
        <v>226</v>
      </c>
      <c r="D42" t="s">
        <v>3903</v>
      </c>
      <c r="E42" t="s">
        <v>1658</v>
      </c>
      <c r="F42" t="s">
        <v>796</v>
      </c>
      <c r="G42" t="s">
        <v>1702</v>
      </c>
    </row>
    <row r="43" spans="1:7">
      <c r="A43" t="s">
        <v>800</v>
      </c>
      <c r="B43" t="s">
        <v>227</v>
      </c>
      <c r="C43" t="s">
        <v>226</v>
      </c>
      <c r="D43" t="s">
        <v>3903</v>
      </c>
      <c r="E43" t="s">
        <v>1658</v>
      </c>
      <c r="F43" t="s">
        <v>801</v>
      </c>
      <c r="G43" t="s">
        <v>1702</v>
      </c>
    </row>
    <row r="44" spans="1:7">
      <c r="A44" t="s">
        <v>804</v>
      </c>
      <c r="B44" t="s">
        <v>227</v>
      </c>
      <c r="C44" t="s">
        <v>226</v>
      </c>
      <c r="D44" t="s">
        <v>3903</v>
      </c>
      <c r="E44" t="s">
        <v>1658</v>
      </c>
      <c r="F44" t="s">
        <v>803</v>
      </c>
      <c r="G44" t="s">
        <v>1702</v>
      </c>
    </row>
    <row r="45" spans="1:7">
      <c r="A45" t="s">
        <v>760</v>
      </c>
      <c r="B45" t="s">
        <v>227</v>
      </c>
      <c r="C45" t="s">
        <v>226</v>
      </c>
      <c r="D45" t="s">
        <v>3903</v>
      </c>
      <c r="E45" t="s">
        <v>1658</v>
      </c>
      <c r="F45" t="s">
        <v>759</v>
      </c>
      <c r="G45" t="s">
        <v>1702</v>
      </c>
    </row>
    <row r="46" spans="1:7">
      <c r="A46" t="s">
        <v>3787</v>
      </c>
      <c r="B46" t="s">
        <v>557</v>
      </c>
      <c r="C46" t="s">
        <v>557</v>
      </c>
      <c r="E46" t="s">
        <v>557</v>
      </c>
      <c r="F46" t="s">
        <v>3788</v>
      </c>
    </row>
    <row r="47" spans="1:7">
      <c r="A47" t="s">
        <v>763</v>
      </c>
      <c r="B47" t="s">
        <v>227</v>
      </c>
      <c r="C47" t="s">
        <v>226</v>
      </c>
      <c r="D47" t="s">
        <v>3903</v>
      </c>
      <c r="E47" t="s">
        <v>1658</v>
      </c>
      <c r="F47" t="s">
        <v>764</v>
      </c>
      <c r="G47" t="s">
        <v>1702</v>
      </c>
    </row>
    <row r="48" spans="1:7">
      <c r="A48" t="s">
        <v>768</v>
      </c>
      <c r="B48" t="s">
        <v>227</v>
      </c>
      <c r="C48" t="s">
        <v>226</v>
      </c>
      <c r="D48" t="s">
        <v>3903</v>
      </c>
      <c r="E48" t="s">
        <v>1658</v>
      </c>
      <c r="F48" t="s">
        <v>769</v>
      </c>
      <c r="G48" t="s">
        <v>1702</v>
      </c>
    </row>
    <row r="49" spans="1:7">
      <c r="A49" t="s">
        <v>3789</v>
      </c>
      <c r="B49" t="s">
        <v>557</v>
      </c>
      <c r="C49" t="s">
        <v>557</v>
      </c>
      <c r="E49" t="s">
        <v>557</v>
      </c>
      <c r="F49" t="s">
        <v>3790</v>
      </c>
    </row>
    <row r="50" spans="1:7">
      <c r="A50" t="s">
        <v>772</v>
      </c>
      <c r="B50" t="s">
        <v>227</v>
      </c>
      <c r="C50" t="s">
        <v>226</v>
      </c>
      <c r="D50" t="s">
        <v>3903</v>
      </c>
      <c r="E50" t="s">
        <v>1658</v>
      </c>
      <c r="F50" t="s">
        <v>773</v>
      </c>
      <c r="G50" t="s">
        <v>1702</v>
      </c>
    </row>
    <row r="51" spans="1:7">
      <c r="A51" t="s">
        <v>807</v>
      </c>
      <c r="B51" t="s">
        <v>227</v>
      </c>
      <c r="C51" t="s">
        <v>226</v>
      </c>
      <c r="D51" t="s">
        <v>3903</v>
      </c>
      <c r="E51" t="s">
        <v>1658</v>
      </c>
      <c r="F51" t="s">
        <v>806</v>
      </c>
      <c r="G51" t="s">
        <v>1702</v>
      </c>
    </row>
    <row r="52" spans="1:7">
      <c r="A52" t="s">
        <v>3791</v>
      </c>
      <c r="B52" t="s">
        <v>557</v>
      </c>
      <c r="C52" t="s">
        <v>557</v>
      </c>
      <c r="E52" t="s">
        <v>557</v>
      </c>
      <c r="F52" t="s">
        <v>3792</v>
      </c>
    </row>
    <row r="53" spans="1:7">
      <c r="A53" t="s">
        <v>3793</v>
      </c>
      <c r="B53" t="s">
        <v>557</v>
      </c>
      <c r="C53" t="s">
        <v>557</v>
      </c>
      <c r="E53" t="s">
        <v>557</v>
      </c>
      <c r="F53" t="s">
        <v>3794</v>
      </c>
    </row>
    <row r="54" spans="1:7">
      <c r="A54" t="s">
        <v>3795</v>
      </c>
      <c r="B54" t="s">
        <v>557</v>
      </c>
      <c r="C54" t="s">
        <v>557</v>
      </c>
      <c r="E54" t="s">
        <v>557</v>
      </c>
      <c r="F54" t="s">
        <v>3796</v>
      </c>
    </row>
    <row r="55" spans="1:7">
      <c r="A55" t="s">
        <v>777</v>
      </c>
      <c r="B55" t="s">
        <v>227</v>
      </c>
      <c r="C55" t="s">
        <v>226</v>
      </c>
      <c r="D55" t="s">
        <v>3903</v>
      </c>
      <c r="E55" t="s">
        <v>1658</v>
      </c>
      <c r="F55" t="s">
        <v>778</v>
      </c>
      <c r="G55" t="s">
        <v>1702</v>
      </c>
    </row>
    <row r="56" spans="1:7">
      <c r="A56" t="s">
        <v>782</v>
      </c>
      <c r="B56" t="s">
        <v>227</v>
      </c>
      <c r="C56" t="s">
        <v>226</v>
      </c>
      <c r="D56" t="s">
        <v>3903</v>
      </c>
      <c r="E56" t="s">
        <v>1658</v>
      </c>
      <c r="F56" t="s">
        <v>783</v>
      </c>
      <c r="G56" t="s">
        <v>1702</v>
      </c>
    </row>
    <row r="57" spans="1:7">
      <c r="A57" t="s">
        <v>3797</v>
      </c>
      <c r="B57" t="s">
        <v>557</v>
      </c>
      <c r="C57" t="s">
        <v>557</v>
      </c>
      <c r="E57" t="s">
        <v>557</v>
      </c>
      <c r="F57" t="s">
        <v>3798</v>
      </c>
    </row>
    <row r="58" spans="1:7">
      <c r="A58" t="s">
        <v>3799</v>
      </c>
      <c r="B58" t="s">
        <v>557</v>
      </c>
      <c r="C58" t="s">
        <v>557</v>
      </c>
      <c r="E58" t="s">
        <v>557</v>
      </c>
      <c r="F58" t="s">
        <v>3800</v>
      </c>
    </row>
    <row r="59" spans="1:7">
      <c r="A59" t="s">
        <v>810</v>
      </c>
      <c r="B59" t="s">
        <v>227</v>
      </c>
      <c r="C59" t="s">
        <v>226</v>
      </c>
      <c r="D59" t="s">
        <v>3903</v>
      </c>
      <c r="E59" t="s">
        <v>1658</v>
      </c>
      <c r="F59" t="s">
        <v>811</v>
      </c>
      <c r="G59" t="s">
        <v>1702</v>
      </c>
    </row>
    <row r="60" spans="1:7">
      <c r="A60" t="s">
        <v>814</v>
      </c>
      <c r="B60" t="s">
        <v>227</v>
      </c>
      <c r="C60" t="s">
        <v>226</v>
      </c>
      <c r="D60" t="s">
        <v>3903</v>
      </c>
      <c r="E60" t="s">
        <v>1658</v>
      </c>
      <c r="F60" t="s">
        <v>813</v>
      </c>
      <c r="G60" t="s">
        <v>1702</v>
      </c>
    </row>
    <row r="61" spans="1:7">
      <c r="A61" t="s">
        <v>817</v>
      </c>
      <c r="B61" t="s">
        <v>227</v>
      </c>
      <c r="C61" t="s">
        <v>226</v>
      </c>
      <c r="D61" t="s">
        <v>3903</v>
      </c>
      <c r="E61" t="s">
        <v>1658</v>
      </c>
      <c r="F61" t="s">
        <v>816</v>
      </c>
      <c r="G61" t="s">
        <v>1702</v>
      </c>
    </row>
    <row r="62" spans="1:7">
      <c r="A62" t="s">
        <v>820</v>
      </c>
      <c r="B62" t="s">
        <v>227</v>
      </c>
      <c r="C62" t="s">
        <v>226</v>
      </c>
      <c r="D62" t="s">
        <v>3903</v>
      </c>
      <c r="E62" t="s">
        <v>1658</v>
      </c>
      <c r="F62" t="s">
        <v>819</v>
      </c>
      <c r="G62" t="s">
        <v>1702</v>
      </c>
    </row>
    <row r="63" spans="1:7">
      <c r="A63" t="s">
        <v>823</v>
      </c>
      <c r="B63" t="s">
        <v>227</v>
      </c>
      <c r="C63" t="s">
        <v>226</v>
      </c>
      <c r="D63" t="s">
        <v>3903</v>
      </c>
      <c r="E63" t="s">
        <v>1658</v>
      </c>
      <c r="F63" t="s">
        <v>822</v>
      </c>
      <c r="G63" t="s">
        <v>1702</v>
      </c>
    </row>
    <row r="64" spans="1:7">
      <c r="A64" t="s">
        <v>826</v>
      </c>
      <c r="B64" t="s">
        <v>227</v>
      </c>
      <c r="C64" t="s">
        <v>226</v>
      </c>
      <c r="D64" t="s">
        <v>3903</v>
      </c>
      <c r="E64" t="s">
        <v>1658</v>
      </c>
      <c r="F64" t="s">
        <v>827</v>
      </c>
      <c r="G64" t="s">
        <v>1702</v>
      </c>
    </row>
    <row r="65" spans="1:7">
      <c r="A65" t="s">
        <v>3801</v>
      </c>
      <c r="B65" t="s">
        <v>72</v>
      </c>
      <c r="C65" t="s">
        <v>71</v>
      </c>
      <c r="D65" t="s">
        <v>3765</v>
      </c>
      <c r="E65" t="s">
        <v>557</v>
      </c>
      <c r="F65" t="s">
        <v>3802</v>
      </c>
      <c r="G65" t="s">
        <v>73</v>
      </c>
    </row>
    <row r="66" spans="1:7">
      <c r="A66" t="s">
        <v>677</v>
      </c>
      <c r="B66" t="s">
        <v>557</v>
      </c>
      <c r="C66" t="s">
        <v>557</v>
      </c>
      <c r="E66" t="s">
        <v>1656</v>
      </c>
      <c r="F66" t="s">
        <v>159</v>
      </c>
    </row>
    <row r="67" spans="1:7">
      <c r="A67" t="s">
        <v>680</v>
      </c>
      <c r="B67" t="s">
        <v>557</v>
      </c>
      <c r="C67" t="s">
        <v>557</v>
      </c>
      <c r="E67" t="s">
        <v>1656</v>
      </c>
      <c r="F67" t="s">
        <v>679</v>
      </c>
    </row>
    <row r="68" spans="1:7">
      <c r="A68" t="s">
        <v>698</v>
      </c>
      <c r="B68" t="s">
        <v>557</v>
      </c>
      <c r="C68" t="s">
        <v>557</v>
      </c>
      <c r="D68" t="s">
        <v>4350</v>
      </c>
      <c r="E68" t="s">
        <v>1664</v>
      </c>
      <c r="F68" t="s">
        <v>696</v>
      </c>
    </row>
    <row r="69" spans="1:7">
      <c r="A69" t="s">
        <v>3803</v>
      </c>
      <c r="B69" t="s">
        <v>557</v>
      </c>
      <c r="C69" t="s">
        <v>557</v>
      </c>
      <c r="E69" t="s">
        <v>1664</v>
      </c>
      <c r="F69" t="s">
        <v>3295</v>
      </c>
    </row>
    <row r="70" spans="1:7">
      <c r="A70" t="s">
        <v>683</v>
      </c>
      <c r="B70" t="s">
        <v>557</v>
      </c>
      <c r="C70" t="s">
        <v>557</v>
      </c>
      <c r="E70" t="s">
        <v>1664</v>
      </c>
      <c r="F70" t="s">
        <v>682</v>
      </c>
    </row>
    <row r="71" spans="1:7">
      <c r="A71" t="s">
        <v>3804</v>
      </c>
      <c r="B71" t="s">
        <v>557</v>
      </c>
      <c r="C71" t="s">
        <v>557</v>
      </c>
      <c r="D71" t="s">
        <v>4351</v>
      </c>
      <c r="E71" t="s">
        <v>1664</v>
      </c>
      <c r="F71" t="s">
        <v>3805</v>
      </c>
    </row>
    <row r="72" spans="1:7">
      <c r="A72" t="s">
        <v>3806</v>
      </c>
      <c r="B72" t="s">
        <v>557</v>
      </c>
      <c r="C72" t="s">
        <v>557</v>
      </c>
      <c r="E72" t="s">
        <v>1664</v>
      </c>
      <c r="F72" t="s">
        <v>3807</v>
      </c>
    </row>
    <row r="73" spans="1:7">
      <c r="A73" t="s">
        <v>3808</v>
      </c>
      <c r="B73" t="s">
        <v>557</v>
      </c>
      <c r="C73" t="s">
        <v>557</v>
      </c>
      <c r="D73" t="s">
        <v>4351</v>
      </c>
      <c r="E73" t="s">
        <v>1664</v>
      </c>
      <c r="F73" t="s">
        <v>3809</v>
      </c>
    </row>
    <row r="74" spans="1:7">
      <c r="A74" t="s">
        <v>3810</v>
      </c>
      <c r="B74" t="s">
        <v>557</v>
      </c>
      <c r="C74" t="s">
        <v>557</v>
      </c>
      <c r="D74" t="s">
        <v>4351</v>
      </c>
      <c r="E74" t="s">
        <v>1664</v>
      </c>
      <c r="F74" t="s">
        <v>3811</v>
      </c>
    </row>
    <row r="75" spans="1:7">
      <c r="A75" t="s">
        <v>3812</v>
      </c>
      <c r="B75" t="s">
        <v>557</v>
      </c>
      <c r="C75" t="s">
        <v>557</v>
      </c>
      <c r="D75" t="s">
        <v>4351</v>
      </c>
      <c r="E75" t="s">
        <v>1664</v>
      </c>
      <c r="F75" t="s">
        <v>3813</v>
      </c>
    </row>
    <row r="76" spans="1:7">
      <c r="A76" t="s">
        <v>839</v>
      </c>
      <c r="B76" t="s">
        <v>557</v>
      </c>
      <c r="C76" t="s">
        <v>557</v>
      </c>
      <c r="D76" t="s">
        <v>4351</v>
      </c>
      <c r="E76" t="s">
        <v>1664</v>
      </c>
      <c r="F76" t="s">
        <v>3814</v>
      </c>
    </row>
    <row r="77" spans="1:7">
      <c r="A77" t="s">
        <v>3815</v>
      </c>
      <c r="B77" t="s">
        <v>557</v>
      </c>
      <c r="C77" t="s">
        <v>557</v>
      </c>
      <c r="D77" t="s">
        <v>4351</v>
      </c>
      <c r="E77" t="s">
        <v>1664</v>
      </c>
      <c r="F77" t="s">
        <v>3816</v>
      </c>
    </row>
    <row r="78" spans="1:7">
      <c r="A78" t="s">
        <v>843</v>
      </c>
      <c r="B78" t="s">
        <v>557</v>
      </c>
      <c r="C78" t="s">
        <v>557</v>
      </c>
      <c r="D78" t="s">
        <v>4351</v>
      </c>
      <c r="E78" t="s">
        <v>1664</v>
      </c>
      <c r="F78" t="s">
        <v>842</v>
      </c>
    </row>
    <row r="79" spans="1:7">
      <c r="A79" t="s">
        <v>846</v>
      </c>
      <c r="B79" t="s">
        <v>557</v>
      </c>
      <c r="C79" t="s">
        <v>557</v>
      </c>
      <c r="D79" t="s">
        <v>4352</v>
      </c>
      <c r="E79" t="s">
        <v>1664</v>
      </c>
      <c r="F79" t="s">
        <v>845</v>
      </c>
    </row>
    <row r="80" spans="1:7">
      <c r="A80" t="s">
        <v>686</v>
      </c>
      <c r="B80" t="s">
        <v>557</v>
      </c>
      <c r="C80" t="s">
        <v>557</v>
      </c>
      <c r="E80" t="s">
        <v>557</v>
      </c>
      <c r="F80" t="s">
        <v>687</v>
      </c>
    </row>
    <row r="81" spans="1:8">
      <c r="A81" t="s">
        <v>858</v>
      </c>
      <c r="B81" t="s">
        <v>417</v>
      </c>
      <c r="C81" t="s">
        <v>416</v>
      </c>
      <c r="D81" t="s">
        <v>4353</v>
      </c>
      <c r="E81" t="s">
        <v>859</v>
      </c>
      <c r="F81" t="s">
        <v>859</v>
      </c>
      <c r="G81" t="s">
        <v>3286</v>
      </c>
    </row>
    <row r="82" spans="1:8">
      <c r="A82" t="s">
        <v>3817</v>
      </c>
      <c r="B82" t="s">
        <v>557</v>
      </c>
      <c r="C82" t="s">
        <v>557</v>
      </c>
      <c r="E82" t="s">
        <v>557</v>
      </c>
      <c r="F82" t="s">
        <v>3818</v>
      </c>
      <c r="H82" t="s">
        <v>3819</v>
      </c>
    </row>
    <row r="83" spans="1:8">
      <c r="A83" t="s">
        <v>886</v>
      </c>
      <c r="B83" t="s">
        <v>423</v>
      </c>
      <c r="C83" t="s">
        <v>422</v>
      </c>
      <c r="D83" t="s">
        <v>4354</v>
      </c>
      <c r="E83" t="s">
        <v>885</v>
      </c>
      <c r="F83" t="s">
        <v>885</v>
      </c>
      <c r="G83" t="s">
        <v>3772</v>
      </c>
    </row>
    <row r="84" spans="1:8">
      <c r="A84" t="s">
        <v>863</v>
      </c>
      <c r="B84" t="s">
        <v>417</v>
      </c>
      <c r="C84" t="s">
        <v>416</v>
      </c>
      <c r="D84" t="s">
        <v>4355</v>
      </c>
      <c r="E84" t="s">
        <v>862</v>
      </c>
      <c r="F84" t="s">
        <v>862</v>
      </c>
      <c r="G84" t="s">
        <v>3286</v>
      </c>
    </row>
    <row r="85" spans="1:8">
      <c r="A85" t="s">
        <v>890</v>
      </c>
      <c r="B85" t="s">
        <v>423</v>
      </c>
      <c r="C85" t="s">
        <v>422</v>
      </c>
      <c r="D85" t="s">
        <v>4356</v>
      </c>
      <c r="E85" t="s">
        <v>3820</v>
      </c>
      <c r="F85" t="s">
        <v>889</v>
      </c>
      <c r="G85" t="s">
        <v>3772</v>
      </c>
    </row>
    <row r="86" spans="1:8">
      <c r="A86" t="s">
        <v>867</v>
      </c>
      <c r="B86" t="s">
        <v>417</v>
      </c>
      <c r="C86" t="s">
        <v>416</v>
      </c>
      <c r="D86" t="s">
        <v>4357</v>
      </c>
      <c r="E86" t="s">
        <v>3820</v>
      </c>
      <c r="F86" t="s">
        <v>868</v>
      </c>
      <c r="G86" t="s">
        <v>3286</v>
      </c>
    </row>
    <row r="87" spans="1:8">
      <c r="A87" t="s">
        <v>872</v>
      </c>
      <c r="B87" t="s">
        <v>417</v>
      </c>
      <c r="C87" t="s">
        <v>416</v>
      </c>
      <c r="D87" t="s">
        <v>4358</v>
      </c>
      <c r="E87" t="s">
        <v>859</v>
      </c>
      <c r="F87" t="s">
        <v>873</v>
      </c>
      <c r="G87" t="s">
        <v>3286</v>
      </c>
    </row>
    <row r="88" spans="1:8">
      <c r="A88" t="s">
        <v>3821</v>
      </c>
      <c r="B88" t="s">
        <v>423</v>
      </c>
      <c r="C88" t="s">
        <v>422</v>
      </c>
      <c r="D88" t="s">
        <v>4359</v>
      </c>
      <c r="E88" t="s">
        <v>3758</v>
      </c>
      <c r="F88" t="s">
        <v>3822</v>
      </c>
      <c r="G88" t="s">
        <v>3772</v>
      </c>
    </row>
    <row r="89" spans="1:8">
      <c r="A89" t="s">
        <v>728</v>
      </c>
      <c r="B89" t="s">
        <v>78</v>
      </c>
      <c r="C89" t="s">
        <v>77</v>
      </c>
      <c r="D89" t="s">
        <v>3823</v>
      </c>
      <c r="E89" t="s">
        <v>1658</v>
      </c>
      <c r="F89" t="s">
        <v>727</v>
      </c>
      <c r="G89" t="s">
        <v>3284</v>
      </c>
    </row>
    <row r="90" spans="1:8">
      <c r="A90" t="s">
        <v>688</v>
      </c>
      <c r="B90" t="s">
        <v>557</v>
      </c>
      <c r="C90" t="s">
        <v>557</v>
      </c>
      <c r="E90" t="s">
        <v>557</v>
      </c>
      <c r="F90" t="s">
        <v>689</v>
      </c>
    </row>
    <row r="91" spans="1:8">
      <c r="A91" t="s">
        <v>895</v>
      </c>
      <c r="B91" t="s">
        <v>557</v>
      </c>
      <c r="C91" t="s">
        <v>557</v>
      </c>
      <c r="D91" t="s">
        <v>4360</v>
      </c>
      <c r="E91" t="s">
        <v>3766</v>
      </c>
      <c r="F91" t="s">
        <v>896</v>
      </c>
    </row>
    <row r="92" spans="1:8">
      <c r="A92" t="s">
        <v>3824</v>
      </c>
      <c r="B92" t="s">
        <v>557</v>
      </c>
      <c r="C92" t="s">
        <v>557</v>
      </c>
      <c r="D92" t="s">
        <v>4360</v>
      </c>
      <c r="E92" t="s">
        <v>557</v>
      </c>
      <c r="F92" t="s">
        <v>3825</v>
      </c>
    </row>
    <row r="93" spans="1:8">
      <c r="A93" t="s">
        <v>899</v>
      </c>
      <c r="B93" t="s">
        <v>557</v>
      </c>
      <c r="C93" t="s">
        <v>557</v>
      </c>
      <c r="D93" t="s">
        <v>4360</v>
      </c>
      <c r="E93" t="s">
        <v>3766</v>
      </c>
      <c r="F93" t="s">
        <v>900</v>
      </c>
    </row>
    <row r="94" spans="1:8">
      <c r="A94" t="s">
        <v>903</v>
      </c>
      <c r="B94" t="s">
        <v>557</v>
      </c>
      <c r="C94" t="s">
        <v>557</v>
      </c>
      <c r="D94" t="s">
        <v>4360</v>
      </c>
      <c r="E94" t="s">
        <v>3766</v>
      </c>
      <c r="F94" t="s">
        <v>904</v>
      </c>
    </row>
    <row r="95" spans="1:8">
      <c r="A95" t="s">
        <v>692</v>
      </c>
      <c r="B95" t="s">
        <v>557</v>
      </c>
      <c r="C95" t="s">
        <v>557</v>
      </c>
      <c r="E95" t="s">
        <v>557</v>
      </c>
      <c r="F95" t="s">
        <v>693</v>
      </c>
      <c r="H95" t="s">
        <v>3826</v>
      </c>
    </row>
  </sheetData>
  <hyperlinks>
    <hyperlink ref="F57" r:id="rId1" xr:uid="{00000000-0004-0000-1C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BED3-9C97-4376-91B2-9CABCA98B1A7}">
  <dimension ref="A1:C39"/>
  <sheetViews>
    <sheetView topLeftCell="A13" zoomScale="85" zoomScaleNormal="85" workbookViewId="0">
      <selection activeCell="C47" sqref="C47"/>
    </sheetView>
  </sheetViews>
  <sheetFormatPr defaultColWidth="8.88671875" defaultRowHeight="13.8"/>
  <cols>
    <col min="1" max="1" width="14.88671875" style="40" customWidth="1"/>
    <col min="2" max="2" width="13.33203125" style="28" customWidth="1"/>
    <col min="3" max="3" width="64.44140625" style="28" customWidth="1"/>
    <col min="4" max="16384" width="8.88671875" style="28"/>
  </cols>
  <sheetData>
    <row r="1" spans="1:3">
      <c r="B1" s="38"/>
    </row>
    <row r="2" spans="1:3">
      <c r="A2" s="41" t="s">
        <v>4374</v>
      </c>
      <c r="B2" s="39" t="s">
        <v>653</v>
      </c>
      <c r="C2" s="30" t="s">
        <v>3241</v>
      </c>
    </row>
    <row r="3" spans="1:3">
      <c r="A3" s="42" t="s">
        <v>4526</v>
      </c>
      <c r="B3" s="28" t="s">
        <v>557</v>
      </c>
      <c r="C3" s="29" t="s">
        <v>4551</v>
      </c>
    </row>
    <row r="4" spans="1:3">
      <c r="A4" s="42" t="s">
        <v>4527</v>
      </c>
      <c r="B4" s="28" t="s">
        <v>557</v>
      </c>
      <c r="C4" s="29" t="s">
        <v>4551</v>
      </c>
    </row>
    <row r="5" spans="1:3">
      <c r="A5" s="42" t="s">
        <v>4528</v>
      </c>
      <c r="B5" s="28" t="s">
        <v>557</v>
      </c>
      <c r="C5" s="29" t="s">
        <v>4551</v>
      </c>
    </row>
    <row r="6" spans="1:3">
      <c r="A6" s="42" t="s">
        <v>4529</v>
      </c>
      <c r="B6" s="28" t="s">
        <v>557</v>
      </c>
      <c r="C6" s="29" t="s">
        <v>4551</v>
      </c>
    </row>
    <row r="7" spans="1:3">
      <c r="A7" s="42" t="s">
        <v>4530</v>
      </c>
      <c r="B7" s="28" t="s">
        <v>557</v>
      </c>
      <c r="C7" s="29" t="s">
        <v>4551</v>
      </c>
    </row>
    <row r="8" spans="1:3">
      <c r="A8" s="42" t="s">
        <v>4531</v>
      </c>
      <c r="B8" s="28" t="s">
        <v>557</v>
      </c>
      <c r="C8" s="29" t="s">
        <v>4551</v>
      </c>
    </row>
    <row r="9" spans="1:3">
      <c r="A9" s="42" t="s">
        <v>4532</v>
      </c>
      <c r="B9" s="28" t="s">
        <v>557</v>
      </c>
      <c r="C9" s="29" t="s">
        <v>4551</v>
      </c>
    </row>
    <row r="10" spans="1:3">
      <c r="A10" s="42" t="s">
        <v>4533</v>
      </c>
      <c r="B10" s="28" t="s">
        <v>557</v>
      </c>
      <c r="C10" s="29" t="s">
        <v>4551</v>
      </c>
    </row>
    <row r="11" spans="1:3">
      <c r="A11" s="42" t="s">
        <v>4534</v>
      </c>
      <c r="B11" s="28" t="s">
        <v>557</v>
      </c>
      <c r="C11" s="29" t="s">
        <v>4551</v>
      </c>
    </row>
    <row r="12" spans="1:3">
      <c r="A12" s="42" t="s">
        <v>4535</v>
      </c>
      <c r="B12" s="28" t="s">
        <v>557</v>
      </c>
      <c r="C12" s="29" t="s">
        <v>4551</v>
      </c>
    </row>
    <row r="13" spans="1:3">
      <c r="A13" s="42" t="s">
        <v>4536</v>
      </c>
      <c r="B13" s="28" t="s">
        <v>557</v>
      </c>
      <c r="C13" s="29" t="s">
        <v>4551</v>
      </c>
    </row>
    <row r="14" spans="1:3">
      <c r="A14" s="42" t="s">
        <v>4537</v>
      </c>
      <c r="B14" s="28" t="s">
        <v>557</v>
      </c>
      <c r="C14" s="29" t="s">
        <v>4551</v>
      </c>
    </row>
    <row r="15" spans="1:3">
      <c r="A15" s="42" t="s">
        <v>4538</v>
      </c>
      <c r="B15" s="28" t="s">
        <v>557</v>
      </c>
      <c r="C15" s="29" t="s">
        <v>4551</v>
      </c>
    </row>
    <row r="16" spans="1:3">
      <c r="A16" s="42" t="s">
        <v>4539</v>
      </c>
      <c r="B16" s="28" t="s">
        <v>557</v>
      </c>
      <c r="C16" s="29" t="s">
        <v>4551</v>
      </c>
    </row>
    <row r="17" spans="1:3">
      <c r="A17" s="42" t="s">
        <v>4540</v>
      </c>
      <c r="B17" s="28" t="s">
        <v>557</v>
      </c>
      <c r="C17" s="29" t="s">
        <v>4551</v>
      </c>
    </row>
    <row r="18" spans="1:3">
      <c r="A18" s="42" t="s">
        <v>4541</v>
      </c>
      <c r="B18" s="28" t="s">
        <v>557</v>
      </c>
      <c r="C18" s="29" t="s">
        <v>4551</v>
      </c>
    </row>
    <row r="19" spans="1:3">
      <c r="A19" s="42" t="s">
        <v>4384</v>
      </c>
      <c r="B19" s="28" t="s">
        <v>81</v>
      </c>
      <c r="C19" s="29" t="s">
        <v>4385</v>
      </c>
    </row>
    <row r="20" spans="1:3">
      <c r="A20" s="42" t="s">
        <v>4386</v>
      </c>
      <c r="B20" s="28" t="s">
        <v>227</v>
      </c>
      <c r="C20" s="29" t="s">
        <v>4387</v>
      </c>
    </row>
    <row r="21" spans="1:3">
      <c r="A21" s="42" t="s">
        <v>4388</v>
      </c>
      <c r="B21" s="28" t="s">
        <v>227</v>
      </c>
      <c r="C21" s="29" t="s">
        <v>4389</v>
      </c>
    </row>
    <row r="22" spans="1:3">
      <c r="A22" s="42" t="s">
        <v>4390</v>
      </c>
      <c r="B22" s="28" t="s">
        <v>227</v>
      </c>
      <c r="C22" s="29" t="s">
        <v>803</v>
      </c>
    </row>
    <row r="23" spans="1:3">
      <c r="A23" s="42" t="s">
        <v>4391</v>
      </c>
      <c r="B23" s="28" t="s">
        <v>227</v>
      </c>
      <c r="C23" s="29" t="s">
        <v>4392</v>
      </c>
    </row>
    <row r="24" spans="1:3">
      <c r="A24" s="42" t="s">
        <v>4393</v>
      </c>
      <c r="B24" s="28" t="s">
        <v>227</v>
      </c>
      <c r="C24" s="29" t="s">
        <v>4394</v>
      </c>
    </row>
    <row r="25" spans="1:3">
      <c r="A25" s="42" t="s">
        <v>4395</v>
      </c>
      <c r="B25" s="28" t="s">
        <v>227</v>
      </c>
      <c r="C25" s="29" t="s">
        <v>781</v>
      </c>
    </row>
    <row r="26" spans="1:3">
      <c r="A26" s="42" t="s">
        <v>4396</v>
      </c>
      <c r="B26" s="28" t="s">
        <v>227</v>
      </c>
      <c r="C26" s="29" t="s">
        <v>4375</v>
      </c>
    </row>
    <row r="27" spans="1:3">
      <c r="A27" s="42" t="s">
        <v>4397</v>
      </c>
      <c r="B27" s="28" t="s">
        <v>227</v>
      </c>
      <c r="C27" s="29" t="s">
        <v>3996</v>
      </c>
    </row>
    <row r="28" spans="1:3">
      <c r="A28" s="42" t="s">
        <v>4542</v>
      </c>
      <c r="B28" s="28" t="s">
        <v>557</v>
      </c>
      <c r="C28" s="29" t="s">
        <v>4551</v>
      </c>
    </row>
    <row r="29" spans="1:3">
      <c r="A29" s="42" t="s">
        <v>4543</v>
      </c>
      <c r="B29" s="28" t="s">
        <v>557</v>
      </c>
      <c r="C29" s="29" t="s">
        <v>4551</v>
      </c>
    </row>
    <row r="30" spans="1:3">
      <c r="A30" s="42" t="s">
        <v>4398</v>
      </c>
      <c r="B30" s="28" t="s">
        <v>557</v>
      </c>
      <c r="C30" s="29" t="s">
        <v>4399</v>
      </c>
    </row>
    <row r="31" spans="1:3">
      <c r="A31" s="42" t="s">
        <v>4544</v>
      </c>
      <c r="B31" s="28" t="s">
        <v>557</v>
      </c>
      <c r="C31" s="29" t="s">
        <v>4551</v>
      </c>
    </row>
    <row r="32" spans="1:3">
      <c r="A32" s="42" t="s">
        <v>4400</v>
      </c>
      <c r="B32" s="28" t="s">
        <v>417</v>
      </c>
      <c r="C32" s="29" t="s">
        <v>3285</v>
      </c>
    </row>
    <row r="33" spans="1:3">
      <c r="A33" s="42" t="s">
        <v>4545</v>
      </c>
      <c r="B33" s="28" t="s">
        <v>557</v>
      </c>
      <c r="C33" s="29" t="s">
        <v>4551</v>
      </c>
    </row>
    <row r="34" spans="1:3">
      <c r="A34" s="42" t="s">
        <v>4546</v>
      </c>
      <c r="B34" s="28" t="s">
        <v>557</v>
      </c>
      <c r="C34" s="29" t="s">
        <v>4551</v>
      </c>
    </row>
    <row r="35" spans="1:3">
      <c r="A35" s="42" t="s">
        <v>4547</v>
      </c>
      <c r="B35" s="28" t="s">
        <v>557</v>
      </c>
      <c r="C35" s="29" t="s">
        <v>4551</v>
      </c>
    </row>
    <row r="36" spans="1:3">
      <c r="A36" s="42" t="s">
        <v>4548</v>
      </c>
      <c r="B36" s="28" t="s">
        <v>557</v>
      </c>
      <c r="C36" s="29" t="s">
        <v>4551</v>
      </c>
    </row>
    <row r="37" spans="1:3">
      <c r="A37" s="42" t="s">
        <v>4549</v>
      </c>
      <c r="B37" s="28" t="s">
        <v>557</v>
      </c>
      <c r="C37" s="29" t="s">
        <v>4551</v>
      </c>
    </row>
    <row r="38" spans="1:3">
      <c r="A38" s="42" t="s">
        <v>4550</v>
      </c>
      <c r="B38" s="28" t="s">
        <v>557</v>
      </c>
      <c r="C38" s="29" t="s">
        <v>4551</v>
      </c>
    </row>
    <row r="39" spans="1:3">
      <c r="A39" s="42" t="s">
        <v>4401</v>
      </c>
      <c r="B39" s="28" t="s">
        <v>557</v>
      </c>
      <c r="C39" s="29" t="s">
        <v>4402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0"/>
  <sheetViews>
    <sheetView topLeftCell="A67" zoomScaleNormal="100" workbookViewId="0">
      <selection activeCell="A10" sqref="A10"/>
    </sheetView>
  </sheetViews>
  <sheetFormatPr defaultColWidth="10.6640625" defaultRowHeight="13.8"/>
  <cols>
    <col min="2" max="2" width="35.109375" customWidth="1"/>
  </cols>
  <sheetData>
    <row r="1" spans="1:4">
      <c r="A1" s="4" t="s">
        <v>905</v>
      </c>
      <c r="B1" s="4" t="s">
        <v>906</v>
      </c>
    </row>
    <row r="2" spans="1:4">
      <c r="A2" t="s">
        <v>907</v>
      </c>
      <c r="B2" t="s">
        <v>908</v>
      </c>
      <c r="C2" t="e">
        <f>#N/A</f>
        <v>#N/A</v>
      </c>
      <c r="D2" t="e">
        <f t="shared" ref="D2:D65" si="0">CONCATENATE("TCCC",RIGHT(C2,LEN(C2)-1))</f>
        <v>#N/A</v>
      </c>
    </row>
    <row r="3" spans="1:4">
      <c r="A3" t="s">
        <v>909</v>
      </c>
      <c r="B3" t="s">
        <v>910</v>
      </c>
      <c r="C3" t="e">
        <f>#N/A</f>
        <v>#N/A</v>
      </c>
      <c r="D3" t="e">
        <f t="shared" si="0"/>
        <v>#N/A</v>
      </c>
    </row>
    <row r="4" spans="1:4">
      <c r="A4" t="s">
        <v>911</v>
      </c>
      <c r="B4" t="s">
        <v>912</v>
      </c>
      <c r="C4" t="e">
        <f>#N/A</f>
        <v>#N/A</v>
      </c>
      <c r="D4" t="e">
        <f t="shared" si="0"/>
        <v>#N/A</v>
      </c>
    </row>
    <row r="5" spans="1:4">
      <c r="A5" t="s">
        <v>913</v>
      </c>
      <c r="B5" t="s">
        <v>914</v>
      </c>
      <c r="C5" t="e">
        <f>#N/A</f>
        <v>#N/A</v>
      </c>
      <c r="D5" t="e">
        <f t="shared" si="0"/>
        <v>#N/A</v>
      </c>
    </row>
    <row r="6" spans="1:4">
      <c r="A6" t="s">
        <v>915</v>
      </c>
      <c r="B6" t="s">
        <v>916</v>
      </c>
      <c r="C6" t="e">
        <f>#N/A</f>
        <v>#N/A</v>
      </c>
      <c r="D6" t="e">
        <f t="shared" si="0"/>
        <v>#N/A</v>
      </c>
    </row>
    <row r="7" spans="1:4">
      <c r="A7" t="s">
        <v>917</v>
      </c>
      <c r="B7" t="s">
        <v>918</v>
      </c>
      <c r="C7" t="e">
        <f>#N/A</f>
        <v>#N/A</v>
      </c>
      <c r="D7" t="e">
        <f t="shared" si="0"/>
        <v>#N/A</v>
      </c>
    </row>
    <row r="8" spans="1:4">
      <c r="A8" t="s">
        <v>919</v>
      </c>
      <c r="B8" t="s">
        <v>920</v>
      </c>
      <c r="C8" t="e">
        <f>#N/A</f>
        <v>#N/A</v>
      </c>
      <c r="D8" t="e">
        <f t="shared" si="0"/>
        <v>#N/A</v>
      </c>
    </row>
    <row r="9" spans="1:4">
      <c r="A9" t="s">
        <v>921</v>
      </c>
      <c r="B9" t="s">
        <v>922</v>
      </c>
      <c r="C9" t="s">
        <v>923</v>
      </c>
      <c r="D9" t="str">
        <f t="shared" si="0"/>
        <v>TCCC.2.2.Ag</v>
      </c>
    </row>
    <row r="10" spans="1:4">
      <c r="A10" t="s">
        <v>924</v>
      </c>
      <c r="B10" t="s">
        <v>925</v>
      </c>
      <c r="C10" t="e">
        <f>#N/A</f>
        <v>#N/A</v>
      </c>
      <c r="D10" t="e">
        <f t="shared" si="0"/>
        <v>#N/A</v>
      </c>
    </row>
    <row r="11" spans="1:4">
      <c r="A11" t="s">
        <v>926</v>
      </c>
      <c r="B11" t="s">
        <v>927</v>
      </c>
      <c r="C11" t="e">
        <f>#N/A</f>
        <v>#N/A</v>
      </c>
      <c r="D11" t="e">
        <f t="shared" si="0"/>
        <v>#N/A</v>
      </c>
    </row>
    <row r="12" spans="1:4">
      <c r="A12" t="s">
        <v>928</v>
      </c>
      <c r="B12" t="s">
        <v>929</v>
      </c>
      <c r="C12" t="s">
        <v>930</v>
      </c>
      <c r="D12" t="str">
        <f t="shared" si="0"/>
        <v>TCCC.2.2.Au</v>
      </c>
    </row>
    <row r="13" spans="1:4">
      <c r="A13" t="s">
        <v>931</v>
      </c>
      <c r="B13" t="s">
        <v>932</v>
      </c>
      <c r="C13" t="e">
        <f>#N/A</f>
        <v>#N/A</v>
      </c>
      <c r="D13" t="e">
        <f t="shared" si="0"/>
        <v>#N/A</v>
      </c>
    </row>
    <row r="14" spans="1:4">
      <c r="A14" t="s">
        <v>933</v>
      </c>
      <c r="B14" t="s">
        <v>934</v>
      </c>
      <c r="C14" t="s">
        <v>935</v>
      </c>
      <c r="D14" t="str">
        <f t="shared" si="0"/>
        <v>TCCC.2.2.nec</v>
      </c>
    </row>
    <row r="15" spans="1:4">
      <c r="A15" t="s">
        <v>936</v>
      </c>
      <c r="B15" t="s">
        <v>937</v>
      </c>
      <c r="C15" t="e">
        <f>#N/A</f>
        <v>#N/A</v>
      </c>
      <c r="D15" t="e">
        <f t="shared" si="0"/>
        <v>#N/A</v>
      </c>
    </row>
    <row r="16" spans="1:4">
      <c r="A16" t="s">
        <v>938</v>
      </c>
      <c r="B16" t="s">
        <v>939</v>
      </c>
      <c r="C16" t="s">
        <v>935</v>
      </c>
      <c r="D16" t="str">
        <f t="shared" si="0"/>
        <v>TCCC.2.2.nec</v>
      </c>
    </row>
    <row r="17" spans="1:4">
      <c r="A17" t="s">
        <v>940</v>
      </c>
      <c r="B17" t="s">
        <v>941</v>
      </c>
      <c r="C17" t="s">
        <v>942</v>
      </c>
      <c r="D17" t="str">
        <f t="shared" si="0"/>
        <v>TCCC.2.2.Cr</v>
      </c>
    </row>
    <row r="18" spans="1:4">
      <c r="A18" t="s">
        <v>943</v>
      </c>
      <c r="B18" t="s">
        <v>944</v>
      </c>
      <c r="C18" t="e">
        <f>#N/A</f>
        <v>#N/A</v>
      </c>
      <c r="D18" t="e">
        <f t="shared" si="0"/>
        <v>#N/A</v>
      </c>
    </row>
    <row r="19" spans="1:4">
      <c r="A19" t="s">
        <v>945</v>
      </c>
      <c r="B19" t="s">
        <v>946</v>
      </c>
      <c r="C19" t="s">
        <v>947</v>
      </c>
      <c r="D19" t="str">
        <f t="shared" si="0"/>
        <v>TCCC.2.2.Cu</v>
      </c>
    </row>
    <row r="20" spans="1:4">
      <c r="A20" t="s">
        <v>948</v>
      </c>
      <c r="B20" t="s">
        <v>949</v>
      </c>
      <c r="C20" t="s">
        <v>950</v>
      </c>
      <c r="D20" t="str">
        <f t="shared" si="0"/>
        <v>TCCC.2.1.Fe</v>
      </c>
    </row>
    <row r="21" spans="1:4">
      <c r="A21" t="s">
        <v>951</v>
      </c>
      <c r="B21" t="s">
        <v>952</v>
      </c>
      <c r="C21" t="e">
        <f>#N/A</f>
        <v>#N/A</v>
      </c>
      <c r="D21" t="e">
        <f t="shared" si="0"/>
        <v>#N/A</v>
      </c>
    </row>
    <row r="22" spans="1:4">
      <c r="A22" t="s">
        <v>953</v>
      </c>
      <c r="B22" t="s">
        <v>954</v>
      </c>
      <c r="C22" t="e">
        <f>#N/A</f>
        <v>#N/A</v>
      </c>
      <c r="D22" t="e">
        <f t="shared" si="0"/>
        <v>#N/A</v>
      </c>
    </row>
    <row r="23" spans="1:4">
      <c r="A23" t="s">
        <v>955</v>
      </c>
      <c r="B23" t="s">
        <v>956</v>
      </c>
      <c r="C23" t="e">
        <f>#N/A</f>
        <v>#N/A</v>
      </c>
      <c r="D23" t="e">
        <f t="shared" si="0"/>
        <v>#N/A</v>
      </c>
    </row>
    <row r="24" spans="1:4">
      <c r="A24" t="s">
        <v>957</v>
      </c>
      <c r="B24" t="s">
        <v>958</v>
      </c>
      <c r="C24" t="s">
        <v>935</v>
      </c>
      <c r="D24" t="str">
        <f t="shared" si="0"/>
        <v>TCCC.2.2.nec</v>
      </c>
    </row>
    <row r="25" spans="1:4">
      <c r="A25" t="s">
        <v>959</v>
      </c>
      <c r="B25" t="s">
        <v>960</v>
      </c>
      <c r="C25" t="e">
        <f>#N/A</f>
        <v>#N/A</v>
      </c>
      <c r="D25" t="e">
        <f t="shared" si="0"/>
        <v>#N/A</v>
      </c>
    </row>
    <row r="26" spans="1:4">
      <c r="A26" t="s">
        <v>961</v>
      </c>
      <c r="B26" t="s">
        <v>962</v>
      </c>
      <c r="C26" t="s">
        <v>963</v>
      </c>
      <c r="D26" t="str">
        <f t="shared" si="0"/>
        <v>TCCC.2.2.Pt</v>
      </c>
    </row>
    <row r="27" spans="1:4">
      <c r="A27" t="s">
        <v>964</v>
      </c>
      <c r="B27" t="s">
        <v>965</v>
      </c>
      <c r="C27" t="s">
        <v>935</v>
      </c>
      <c r="D27" t="str">
        <f t="shared" si="0"/>
        <v>TCCC.2.2.nec</v>
      </c>
    </row>
    <row r="28" spans="1:4">
      <c r="A28" t="s">
        <v>966</v>
      </c>
      <c r="B28" t="s">
        <v>967</v>
      </c>
      <c r="C28" t="e">
        <f>#N/A</f>
        <v>#N/A</v>
      </c>
      <c r="D28" t="e">
        <f t="shared" si="0"/>
        <v>#N/A</v>
      </c>
    </row>
    <row r="29" spans="1:4">
      <c r="A29" t="s">
        <v>968</v>
      </c>
      <c r="B29" t="s">
        <v>969</v>
      </c>
      <c r="C29" t="s">
        <v>970</v>
      </c>
      <c r="D29" t="str">
        <f t="shared" si="0"/>
        <v>TCCC.2.2.Mn</v>
      </c>
    </row>
    <row r="30" spans="1:4">
      <c r="A30" t="s">
        <v>971</v>
      </c>
      <c r="B30" t="s">
        <v>972</v>
      </c>
      <c r="C30" t="s">
        <v>935</v>
      </c>
      <c r="D30" t="str">
        <f t="shared" si="0"/>
        <v>TCCC.2.2.nec</v>
      </c>
    </row>
    <row r="31" spans="1:4">
      <c r="A31" t="s">
        <v>973</v>
      </c>
      <c r="B31" t="s">
        <v>974</v>
      </c>
      <c r="C31" t="s">
        <v>935</v>
      </c>
      <c r="D31" t="str">
        <f t="shared" si="0"/>
        <v>TCCC.2.2.nec</v>
      </c>
    </row>
    <row r="32" spans="1:4">
      <c r="A32" t="s">
        <v>975</v>
      </c>
      <c r="B32" t="s">
        <v>976</v>
      </c>
      <c r="C32" t="s">
        <v>977</v>
      </c>
      <c r="D32" t="str">
        <f t="shared" si="0"/>
        <v>TCCC.2.2.Ni</v>
      </c>
    </row>
    <row r="33" spans="1:4">
      <c r="A33" t="s">
        <v>978</v>
      </c>
      <c r="B33" t="s">
        <v>979</v>
      </c>
      <c r="C33" t="s">
        <v>963</v>
      </c>
      <c r="D33" t="str">
        <f t="shared" si="0"/>
        <v>TCCC.2.2.Pt</v>
      </c>
    </row>
    <row r="34" spans="1:4">
      <c r="A34" t="s">
        <v>980</v>
      </c>
      <c r="B34" t="s">
        <v>981</v>
      </c>
      <c r="C34" t="s">
        <v>982</v>
      </c>
      <c r="D34" t="str">
        <f t="shared" si="0"/>
        <v>TCCC.2.2.Pb</v>
      </c>
    </row>
    <row r="35" spans="1:4">
      <c r="A35" t="s">
        <v>983</v>
      </c>
      <c r="B35" t="s">
        <v>984</v>
      </c>
      <c r="C35" t="s">
        <v>963</v>
      </c>
      <c r="D35" t="str">
        <f t="shared" si="0"/>
        <v>TCCC.2.2.Pt</v>
      </c>
    </row>
    <row r="36" spans="1:4">
      <c r="A36" t="s">
        <v>985</v>
      </c>
      <c r="B36" t="s">
        <v>986</v>
      </c>
      <c r="C36" t="s">
        <v>963</v>
      </c>
      <c r="D36" t="str">
        <f t="shared" si="0"/>
        <v>TCCC.2.2.Pt</v>
      </c>
    </row>
    <row r="37" spans="1:4">
      <c r="A37" t="s">
        <v>987</v>
      </c>
      <c r="B37" t="s">
        <v>988</v>
      </c>
      <c r="C37" t="s">
        <v>963</v>
      </c>
      <c r="D37" t="str">
        <f t="shared" si="0"/>
        <v>TCCC.2.2.Pt</v>
      </c>
    </row>
    <row r="38" spans="1:4">
      <c r="A38" t="s">
        <v>989</v>
      </c>
      <c r="B38" t="s">
        <v>990</v>
      </c>
      <c r="C38" t="e">
        <f>#N/A</f>
        <v>#N/A</v>
      </c>
      <c r="D38" t="e">
        <f t="shared" si="0"/>
        <v>#N/A</v>
      </c>
    </row>
    <row r="39" spans="1:4">
      <c r="A39" t="s">
        <v>991</v>
      </c>
      <c r="B39" t="s">
        <v>992</v>
      </c>
      <c r="C39" t="e">
        <f>#N/A</f>
        <v>#N/A</v>
      </c>
      <c r="D39" t="e">
        <f t="shared" si="0"/>
        <v>#N/A</v>
      </c>
    </row>
    <row r="40" spans="1:4">
      <c r="A40" t="s">
        <v>993</v>
      </c>
      <c r="B40" t="s">
        <v>994</v>
      </c>
      <c r="C40" t="s">
        <v>935</v>
      </c>
      <c r="D40" t="str">
        <f t="shared" si="0"/>
        <v>TCCC.2.2.nec</v>
      </c>
    </row>
    <row r="41" spans="1:4">
      <c r="A41" t="s">
        <v>995</v>
      </c>
      <c r="B41" t="s">
        <v>996</v>
      </c>
      <c r="C41" t="s">
        <v>963</v>
      </c>
      <c r="D41" t="str">
        <f t="shared" si="0"/>
        <v>TCCC.2.2.Pt</v>
      </c>
    </row>
    <row r="42" spans="1:4">
      <c r="A42" t="s">
        <v>997</v>
      </c>
      <c r="B42" t="s">
        <v>998</v>
      </c>
      <c r="C42" t="e">
        <f>#N/A</f>
        <v>#N/A</v>
      </c>
      <c r="D42" t="e">
        <f t="shared" si="0"/>
        <v>#N/A</v>
      </c>
    </row>
    <row r="43" spans="1:4">
      <c r="A43" t="s">
        <v>999</v>
      </c>
      <c r="B43" t="s">
        <v>1000</v>
      </c>
      <c r="C43" t="s">
        <v>935</v>
      </c>
      <c r="D43" t="str">
        <f t="shared" si="0"/>
        <v>TCCC.2.2.nec</v>
      </c>
    </row>
    <row r="44" spans="1:4">
      <c r="A44" t="s">
        <v>1001</v>
      </c>
      <c r="B44" t="s">
        <v>1002</v>
      </c>
      <c r="C44" t="e">
        <f>#N/A</f>
        <v>#N/A</v>
      </c>
      <c r="D44" t="e">
        <f t="shared" si="0"/>
        <v>#N/A</v>
      </c>
    </row>
    <row r="45" spans="1:4">
      <c r="A45" t="s">
        <v>1003</v>
      </c>
      <c r="B45" t="s">
        <v>1004</v>
      </c>
      <c r="C45" t="s">
        <v>1005</v>
      </c>
      <c r="D45" t="str">
        <f t="shared" si="0"/>
        <v>TCCC.2.2.Sn</v>
      </c>
    </row>
    <row r="46" spans="1:4">
      <c r="A46" t="s">
        <v>1006</v>
      </c>
      <c r="B46" t="s">
        <v>1007</v>
      </c>
      <c r="C46" t="e">
        <f>#N/A</f>
        <v>#N/A</v>
      </c>
      <c r="D46" t="e">
        <f t="shared" si="0"/>
        <v>#N/A</v>
      </c>
    </row>
    <row r="47" spans="1:4">
      <c r="A47" t="s">
        <v>1008</v>
      </c>
      <c r="B47" t="s">
        <v>1009</v>
      </c>
      <c r="C47" t="s">
        <v>935</v>
      </c>
      <c r="D47" t="str">
        <f t="shared" si="0"/>
        <v>TCCC.2.2.nec</v>
      </c>
    </row>
    <row r="48" spans="1:4">
      <c r="A48" t="s">
        <v>1010</v>
      </c>
      <c r="B48" t="s">
        <v>1011</v>
      </c>
      <c r="C48" t="s">
        <v>935</v>
      </c>
      <c r="D48" t="str">
        <f t="shared" si="0"/>
        <v>TCCC.2.2.nec</v>
      </c>
    </row>
    <row r="49" spans="1:4">
      <c r="A49" t="s">
        <v>1012</v>
      </c>
      <c r="B49" t="s">
        <v>1013</v>
      </c>
      <c r="C49" t="e">
        <f>#N/A</f>
        <v>#N/A</v>
      </c>
      <c r="D49" t="e">
        <f t="shared" si="0"/>
        <v>#N/A</v>
      </c>
    </row>
    <row r="50" spans="1:4">
      <c r="A50" t="s">
        <v>1014</v>
      </c>
      <c r="B50" t="s">
        <v>1015</v>
      </c>
      <c r="C50" t="s">
        <v>1016</v>
      </c>
      <c r="D50" t="str">
        <f t="shared" si="0"/>
        <v>TCCC.2.2.Ti</v>
      </c>
    </row>
    <row r="51" spans="1:4">
      <c r="A51" t="s">
        <v>1017</v>
      </c>
      <c r="B51" t="s">
        <v>1018</v>
      </c>
      <c r="C51" t="e">
        <f>#N/A</f>
        <v>#N/A</v>
      </c>
      <c r="D51" t="e">
        <f t="shared" si="0"/>
        <v>#N/A</v>
      </c>
    </row>
    <row r="52" spans="1:4">
      <c r="A52" t="s">
        <v>1019</v>
      </c>
      <c r="B52" t="s">
        <v>1020</v>
      </c>
      <c r="C52" t="s">
        <v>1021</v>
      </c>
      <c r="D52" t="str">
        <f t="shared" si="0"/>
        <v>TCCC.2.2.U</v>
      </c>
    </row>
    <row r="53" spans="1:4">
      <c r="A53" t="s">
        <v>1022</v>
      </c>
      <c r="B53" t="s">
        <v>1023</v>
      </c>
      <c r="C53" t="s">
        <v>935</v>
      </c>
      <c r="D53" t="str">
        <f t="shared" si="0"/>
        <v>TCCC.2.2.nec</v>
      </c>
    </row>
    <row r="54" spans="1:4">
      <c r="A54" t="s">
        <v>1024</v>
      </c>
      <c r="B54" t="s">
        <v>1025</v>
      </c>
      <c r="C54" t="s">
        <v>935</v>
      </c>
      <c r="D54" t="str">
        <f t="shared" si="0"/>
        <v>TCCC.2.2.nec</v>
      </c>
    </row>
    <row r="55" spans="1:4">
      <c r="A55" t="s">
        <v>1026</v>
      </c>
      <c r="B55" t="s">
        <v>1027</v>
      </c>
      <c r="C55" t="s">
        <v>1028</v>
      </c>
      <c r="D55" t="str">
        <f t="shared" si="0"/>
        <v>TCCC.2.2.Zn</v>
      </c>
    </row>
    <row r="56" spans="1:4">
      <c r="A56" t="s">
        <v>1029</v>
      </c>
      <c r="B56" t="s">
        <v>1030</v>
      </c>
      <c r="C56" t="e">
        <f>#N/A</f>
        <v>#N/A</v>
      </c>
      <c r="D56" t="e">
        <f t="shared" si="0"/>
        <v>#N/A</v>
      </c>
    </row>
    <row r="57" spans="1:4">
      <c r="A57" t="s">
        <v>1031</v>
      </c>
      <c r="B57" t="s">
        <v>1032</v>
      </c>
      <c r="C57" t="e">
        <f>#N/A</f>
        <v>#N/A</v>
      </c>
      <c r="D57" t="e">
        <f t="shared" si="0"/>
        <v>#N/A</v>
      </c>
    </row>
    <row r="58" spans="1:4">
      <c r="A58" t="s">
        <v>1033</v>
      </c>
      <c r="B58" t="s">
        <v>1034</v>
      </c>
      <c r="C58" t="e">
        <f>#N/A</f>
        <v>#N/A</v>
      </c>
      <c r="D58" t="e">
        <f t="shared" si="0"/>
        <v>#N/A</v>
      </c>
    </row>
    <row r="59" spans="1:4">
      <c r="A59" t="s">
        <v>1035</v>
      </c>
      <c r="B59" t="s">
        <v>1036</v>
      </c>
      <c r="C59" t="e">
        <f>#N/A</f>
        <v>#N/A</v>
      </c>
      <c r="D59" t="e">
        <f t="shared" si="0"/>
        <v>#N/A</v>
      </c>
    </row>
    <row r="60" spans="1:4">
      <c r="A60" t="s">
        <v>1037</v>
      </c>
      <c r="B60" t="s">
        <v>1038</v>
      </c>
      <c r="C60" t="e">
        <f>#N/A</f>
        <v>#N/A</v>
      </c>
      <c r="D60" t="e">
        <f t="shared" si="0"/>
        <v>#N/A</v>
      </c>
    </row>
    <row r="61" spans="1:4">
      <c r="A61" t="s">
        <v>1039</v>
      </c>
      <c r="B61" t="s">
        <v>1040</v>
      </c>
      <c r="C61" t="e">
        <f>#N/A</f>
        <v>#N/A</v>
      </c>
      <c r="D61" t="e">
        <f t="shared" si="0"/>
        <v>#N/A</v>
      </c>
    </row>
    <row r="62" spans="1:4">
      <c r="A62" t="s">
        <v>1041</v>
      </c>
      <c r="B62" t="s">
        <v>1042</v>
      </c>
      <c r="C62" t="e">
        <f>#N/A</f>
        <v>#N/A</v>
      </c>
      <c r="D62" t="e">
        <f t="shared" si="0"/>
        <v>#N/A</v>
      </c>
    </row>
    <row r="63" spans="1:4">
      <c r="A63" t="s">
        <v>1043</v>
      </c>
      <c r="B63" t="s">
        <v>1044</v>
      </c>
      <c r="C63" t="e">
        <f>#N/A</f>
        <v>#N/A</v>
      </c>
      <c r="D63" t="e">
        <f t="shared" si="0"/>
        <v>#N/A</v>
      </c>
    </row>
    <row r="64" spans="1:4">
      <c r="A64" t="s">
        <v>1045</v>
      </c>
      <c r="B64" t="s">
        <v>1046</v>
      </c>
      <c r="C64" t="e">
        <f>#N/A</f>
        <v>#N/A</v>
      </c>
      <c r="D64" t="e">
        <f t="shared" si="0"/>
        <v>#N/A</v>
      </c>
    </row>
    <row r="65" spans="1:4">
      <c r="A65" t="s">
        <v>1047</v>
      </c>
      <c r="B65" t="s">
        <v>1048</v>
      </c>
      <c r="C65" t="e">
        <f>#N/A</f>
        <v>#N/A</v>
      </c>
      <c r="D65" t="e">
        <f t="shared" si="0"/>
        <v>#N/A</v>
      </c>
    </row>
    <row r="66" spans="1:4">
      <c r="A66" t="s">
        <v>1049</v>
      </c>
      <c r="B66" t="s">
        <v>1050</v>
      </c>
      <c r="C66" t="e">
        <f>#N/A</f>
        <v>#N/A</v>
      </c>
      <c r="D66" t="e">
        <f t="shared" ref="D66:D129" si="1">CONCATENATE("TCCC",RIGHT(C66,LEN(C66)-1))</f>
        <v>#N/A</v>
      </c>
    </row>
    <row r="67" spans="1:4">
      <c r="A67" t="s">
        <v>1051</v>
      </c>
      <c r="B67" t="s">
        <v>1052</v>
      </c>
      <c r="C67" t="e">
        <f>#N/A</f>
        <v>#N/A</v>
      </c>
      <c r="D67" t="e">
        <f t="shared" si="1"/>
        <v>#N/A</v>
      </c>
    </row>
    <row r="68" spans="1:4">
      <c r="A68" t="s">
        <v>1053</v>
      </c>
      <c r="B68" t="s">
        <v>1054</v>
      </c>
      <c r="C68" t="e">
        <f>#N/A</f>
        <v>#N/A</v>
      </c>
      <c r="D68" t="e">
        <f t="shared" si="1"/>
        <v>#N/A</v>
      </c>
    </row>
    <row r="69" spans="1:4">
      <c r="A69" t="s">
        <v>1055</v>
      </c>
      <c r="B69" t="s">
        <v>1056</v>
      </c>
      <c r="C69" t="e">
        <f>#N/A</f>
        <v>#N/A</v>
      </c>
      <c r="D69" t="e">
        <f t="shared" si="1"/>
        <v>#N/A</v>
      </c>
    </row>
    <row r="70" spans="1:4">
      <c r="A70" t="s">
        <v>1057</v>
      </c>
      <c r="B70" t="s">
        <v>1058</v>
      </c>
      <c r="C70" t="e">
        <f>#N/A</f>
        <v>#N/A</v>
      </c>
      <c r="D70" t="e">
        <f t="shared" si="1"/>
        <v>#N/A</v>
      </c>
    </row>
    <row r="71" spans="1:4">
      <c r="A71" t="s">
        <v>1059</v>
      </c>
      <c r="B71" t="s">
        <v>1060</v>
      </c>
      <c r="C71" t="e">
        <f>#N/A</f>
        <v>#N/A</v>
      </c>
      <c r="D71" t="e">
        <f t="shared" si="1"/>
        <v>#N/A</v>
      </c>
    </row>
    <row r="72" spans="1:4">
      <c r="A72" t="s">
        <v>1061</v>
      </c>
      <c r="B72" t="s">
        <v>1062</v>
      </c>
      <c r="C72" t="e">
        <f>#N/A</f>
        <v>#N/A</v>
      </c>
      <c r="D72" t="e">
        <f t="shared" si="1"/>
        <v>#N/A</v>
      </c>
    </row>
    <row r="73" spans="1:4">
      <c r="A73" t="s">
        <v>1063</v>
      </c>
      <c r="B73" t="s">
        <v>1064</v>
      </c>
      <c r="C73" t="e">
        <f>#N/A</f>
        <v>#N/A</v>
      </c>
      <c r="D73" t="e">
        <f t="shared" si="1"/>
        <v>#N/A</v>
      </c>
    </row>
    <row r="74" spans="1:4">
      <c r="A74" t="s">
        <v>1065</v>
      </c>
      <c r="B74" t="s">
        <v>1066</v>
      </c>
      <c r="C74" t="e">
        <f>#N/A</f>
        <v>#N/A</v>
      </c>
      <c r="D74" t="e">
        <f t="shared" si="1"/>
        <v>#N/A</v>
      </c>
    </row>
    <row r="75" spans="1:4">
      <c r="A75" t="s">
        <v>1067</v>
      </c>
      <c r="B75" t="s">
        <v>1068</v>
      </c>
      <c r="C75" t="e">
        <f>#N/A</f>
        <v>#N/A</v>
      </c>
      <c r="D75" t="e">
        <f t="shared" si="1"/>
        <v>#N/A</v>
      </c>
    </row>
    <row r="76" spans="1:4">
      <c r="A76" t="s">
        <v>1069</v>
      </c>
      <c r="B76" t="s">
        <v>1070</v>
      </c>
      <c r="C76" t="e">
        <f>#N/A</f>
        <v>#N/A</v>
      </c>
      <c r="D76" t="e">
        <f t="shared" si="1"/>
        <v>#N/A</v>
      </c>
    </row>
    <row r="77" spans="1:4">
      <c r="A77" t="s">
        <v>1071</v>
      </c>
      <c r="B77" t="s">
        <v>1072</v>
      </c>
      <c r="C77" t="e">
        <f>#N/A</f>
        <v>#N/A</v>
      </c>
      <c r="D77" t="e">
        <f t="shared" si="1"/>
        <v>#N/A</v>
      </c>
    </row>
    <row r="78" spans="1:4">
      <c r="A78" t="s">
        <v>1073</v>
      </c>
      <c r="B78" t="s">
        <v>1074</v>
      </c>
      <c r="C78" t="e">
        <f>#N/A</f>
        <v>#N/A</v>
      </c>
      <c r="D78" t="e">
        <f t="shared" si="1"/>
        <v>#N/A</v>
      </c>
    </row>
    <row r="79" spans="1:4">
      <c r="A79" t="s">
        <v>1075</v>
      </c>
      <c r="B79" t="s">
        <v>1076</v>
      </c>
      <c r="C79" t="e">
        <f>#N/A</f>
        <v>#N/A</v>
      </c>
      <c r="D79" t="e">
        <f t="shared" si="1"/>
        <v>#N/A</v>
      </c>
    </row>
    <row r="80" spans="1:4">
      <c r="A80" t="s">
        <v>1077</v>
      </c>
      <c r="B80" t="s">
        <v>1078</v>
      </c>
      <c r="C80" t="e">
        <f>#N/A</f>
        <v>#N/A</v>
      </c>
      <c r="D80" t="e">
        <f t="shared" si="1"/>
        <v>#N/A</v>
      </c>
    </row>
    <row r="81" spans="1:4">
      <c r="A81" t="s">
        <v>1079</v>
      </c>
      <c r="B81" t="s">
        <v>1080</v>
      </c>
      <c r="C81" t="e">
        <f>#N/A</f>
        <v>#N/A</v>
      </c>
      <c r="D81" t="e">
        <f t="shared" si="1"/>
        <v>#N/A</v>
      </c>
    </row>
    <row r="82" spans="1:4">
      <c r="A82" t="s">
        <v>1081</v>
      </c>
      <c r="B82" t="s">
        <v>1082</v>
      </c>
      <c r="C82" t="e">
        <f>#N/A</f>
        <v>#N/A</v>
      </c>
      <c r="D82" t="e">
        <f t="shared" si="1"/>
        <v>#N/A</v>
      </c>
    </row>
    <row r="83" spans="1:4">
      <c r="A83" t="s">
        <v>1083</v>
      </c>
      <c r="B83" t="s">
        <v>1084</v>
      </c>
      <c r="C83" t="e">
        <f>#N/A</f>
        <v>#N/A</v>
      </c>
      <c r="D83" t="e">
        <f t="shared" si="1"/>
        <v>#N/A</v>
      </c>
    </row>
    <row r="84" spans="1:4">
      <c r="A84" t="s">
        <v>1085</v>
      </c>
      <c r="B84" t="s">
        <v>1086</v>
      </c>
      <c r="C84" t="e">
        <f>#N/A</f>
        <v>#N/A</v>
      </c>
      <c r="D84" t="e">
        <f t="shared" si="1"/>
        <v>#N/A</v>
      </c>
    </row>
    <row r="85" spans="1:4">
      <c r="A85" t="s">
        <v>1087</v>
      </c>
      <c r="B85" t="s">
        <v>703</v>
      </c>
      <c r="C85" t="s">
        <v>1088</v>
      </c>
      <c r="D85" t="str">
        <f t="shared" si="1"/>
        <v>TCCC.4.1.2.1</v>
      </c>
    </row>
    <row r="86" spans="1:4">
      <c r="A86" t="s">
        <v>1089</v>
      </c>
      <c r="B86" t="s">
        <v>1090</v>
      </c>
      <c r="C86" t="e">
        <f>#N/A</f>
        <v>#N/A</v>
      </c>
      <c r="D86" t="e">
        <f t="shared" si="1"/>
        <v>#N/A</v>
      </c>
    </row>
    <row r="87" spans="1:4">
      <c r="A87" t="s">
        <v>1091</v>
      </c>
      <c r="B87" t="s">
        <v>1092</v>
      </c>
      <c r="C87" t="s">
        <v>1093</v>
      </c>
      <c r="D87" t="str">
        <f t="shared" si="1"/>
        <v>TCCC.4.1.2.2</v>
      </c>
    </row>
    <row r="88" spans="1:4">
      <c r="A88" t="s">
        <v>1094</v>
      </c>
      <c r="B88" t="s">
        <v>721</v>
      </c>
      <c r="C88" t="s">
        <v>1095</v>
      </c>
      <c r="D88" t="str">
        <f t="shared" si="1"/>
        <v>TCCC.4.2.1</v>
      </c>
    </row>
    <row r="89" spans="1:4">
      <c r="A89" t="s">
        <v>1096</v>
      </c>
      <c r="B89" t="s">
        <v>73</v>
      </c>
      <c r="C89" t="s">
        <v>1097</v>
      </c>
      <c r="D89" t="str">
        <f t="shared" si="1"/>
        <v>TCCC.4.1.1.1</v>
      </c>
    </row>
    <row r="90" spans="1:4">
      <c r="A90" t="s">
        <v>1098</v>
      </c>
      <c r="B90" t="s">
        <v>82</v>
      </c>
      <c r="C90" t="s">
        <v>1099</v>
      </c>
      <c r="D90" t="str">
        <f t="shared" si="1"/>
        <v>TCCC.4.2.2</v>
      </c>
    </row>
    <row r="91" spans="1:4">
      <c r="A91" t="s">
        <v>1100</v>
      </c>
      <c r="B91" t="s">
        <v>724</v>
      </c>
      <c r="C91" t="s">
        <v>1101</v>
      </c>
      <c r="D91" t="str">
        <f t="shared" si="1"/>
        <v>TCCC.4.2.3</v>
      </c>
    </row>
    <row r="92" spans="1:4">
      <c r="A92" t="s">
        <v>1102</v>
      </c>
      <c r="B92" t="s">
        <v>709</v>
      </c>
      <c r="C92" t="s">
        <v>1103</v>
      </c>
      <c r="D92" t="str">
        <f t="shared" si="1"/>
        <v>TCCC.4.1.2.3</v>
      </c>
    </row>
    <row r="93" spans="1:4">
      <c r="A93" t="s">
        <v>1104</v>
      </c>
      <c r="B93" t="s">
        <v>727</v>
      </c>
      <c r="C93" t="s">
        <v>1105</v>
      </c>
      <c r="D93" t="str">
        <f t="shared" si="1"/>
        <v>TCCC.4.3</v>
      </c>
    </row>
    <row r="94" spans="1:4">
      <c r="A94" t="s">
        <v>1106</v>
      </c>
      <c r="B94" t="s">
        <v>790</v>
      </c>
      <c r="C94" t="e">
        <f>#N/A</f>
        <v>#N/A</v>
      </c>
      <c r="D94" t="e">
        <f t="shared" si="1"/>
        <v>#N/A</v>
      </c>
    </row>
    <row r="95" spans="1:4">
      <c r="A95" t="s">
        <v>1107</v>
      </c>
      <c r="B95" t="s">
        <v>1108</v>
      </c>
      <c r="C95" t="s">
        <v>1109</v>
      </c>
      <c r="D95" t="str">
        <f t="shared" si="1"/>
        <v>TCCC.4.1.3</v>
      </c>
    </row>
    <row r="96" spans="1:4">
      <c r="A96" t="s">
        <v>1110</v>
      </c>
      <c r="B96" t="s">
        <v>716</v>
      </c>
      <c r="C96" t="s">
        <v>1111</v>
      </c>
      <c r="D96" t="str">
        <f t="shared" si="1"/>
        <v>TCCC.4.1.1.2</v>
      </c>
    </row>
    <row r="97" spans="1:4">
      <c r="A97" t="s">
        <v>1112</v>
      </c>
      <c r="B97" t="s">
        <v>1113</v>
      </c>
      <c r="C97" t="e">
        <f>#N/A</f>
        <v>#N/A</v>
      </c>
      <c r="D97" t="e">
        <f t="shared" si="1"/>
        <v>#N/A</v>
      </c>
    </row>
    <row r="98" spans="1:4">
      <c r="A98" t="s">
        <v>1114</v>
      </c>
      <c r="B98" t="s">
        <v>1115</v>
      </c>
      <c r="C98" t="s">
        <v>1116</v>
      </c>
      <c r="D98" t="str">
        <f t="shared" si="1"/>
        <v>TCCC.3.4.3</v>
      </c>
    </row>
    <row r="99" spans="1:4">
      <c r="A99" t="s">
        <v>1117</v>
      </c>
      <c r="B99" t="s">
        <v>1118</v>
      </c>
      <c r="C99" t="e">
        <f>#N/A</f>
        <v>#N/A</v>
      </c>
      <c r="D99" t="e">
        <f t="shared" si="1"/>
        <v>#N/A</v>
      </c>
    </row>
    <row r="100" spans="1:4">
      <c r="A100" t="s">
        <v>1119</v>
      </c>
      <c r="B100" t="s">
        <v>1120</v>
      </c>
      <c r="C100" t="s">
        <v>1116</v>
      </c>
      <c r="D100" t="str">
        <f t="shared" si="1"/>
        <v>TCCC.3.4.3</v>
      </c>
    </row>
    <row r="101" spans="1:4">
      <c r="A101" t="s">
        <v>1121</v>
      </c>
      <c r="B101" t="s">
        <v>1122</v>
      </c>
      <c r="C101" t="s">
        <v>1123</v>
      </c>
      <c r="D101" t="str">
        <f t="shared" si="1"/>
        <v>TCCC.3.9</v>
      </c>
    </row>
    <row r="102" spans="1:4">
      <c r="A102" t="s">
        <v>1124</v>
      </c>
      <c r="B102" t="s">
        <v>1125</v>
      </c>
      <c r="C102" t="s">
        <v>1126</v>
      </c>
      <c r="D102" t="str">
        <f t="shared" si="1"/>
        <v>TCCC.3.7.2</v>
      </c>
    </row>
    <row r="103" spans="1:4">
      <c r="A103" t="s">
        <v>1127</v>
      </c>
      <c r="B103" t="s">
        <v>1128</v>
      </c>
      <c r="C103" t="s">
        <v>1129</v>
      </c>
      <c r="D103" t="str">
        <f t="shared" si="1"/>
        <v>TCCC.3.4.2</v>
      </c>
    </row>
    <row r="104" spans="1:4">
      <c r="A104" t="s">
        <v>1130</v>
      </c>
      <c r="B104" t="s">
        <v>1131</v>
      </c>
      <c r="C104" t="s">
        <v>1126</v>
      </c>
      <c r="D104" t="str">
        <f t="shared" si="1"/>
        <v>TCCC.3.7.2</v>
      </c>
    </row>
    <row r="105" spans="1:4">
      <c r="A105" t="s">
        <v>1132</v>
      </c>
      <c r="B105" t="s">
        <v>1133</v>
      </c>
      <c r="C105" t="s">
        <v>1129</v>
      </c>
      <c r="D105" t="str">
        <f t="shared" si="1"/>
        <v>TCCC.3.4.2</v>
      </c>
    </row>
    <row r="106" spans="1:4">
      <c r="A106" t="s">
        <v>1134</v>
      </c>
      <c r="B106" t="s">
        <v>1135</v>
      </c>
      <c r="C106" t="s">
        <v>1116</v>
      </c>
      <c r="D106" t="str">
        <f t="shared" si="1"/>
        <v>TCCC.3.4.3</v>
      </c>
    </row>
    <row r="107" spans="1:4">
      <c r="A107" t="s">
        <v>1136</v>
      </c>
      <c r="B107" t="s">
        <v>1137</v>
      </c>
      <c r="C107" t="s">
        <v>1138</v>
      </c>
      <c r="D107" t="str">
        <f t="shared" si="1"/>
        <v>TCCC.3.5</v>
      </c>
    </row>
    <row r="108" spans="1:4">
      <c r="A108" t="s">
        <v>1139</v>
      </c>
      <c r="B108" t="s">
        <v>1140</v>
      </c>
      <c r="C108" t="s">
        <v>1141</v>
      </c>
      <c r="D108" t="str">
        <f t="shared" si="1"/>
        <v>TCCC.3.2.3</v>
      </c>
    </row>
    <row r="109" spans="1:4">
      <c r="A109" t="s">
        <v>1142</v>
      </c>
      <c r="B109" t="s">
        <v>1143</v>
      </c>
      <c r="C109" t="s">
        <v>1144</v>
      </c>
      <c r="D109" t="str">
        <f t="shared" si="1"/>
        <v>TCCC.3.2.1</v>
      </c>
    </row>
    <row r="110" spans="1:4">
      <c r="A110" t="s">
        <v>1145</v>
      </c>
      <c r="B110" t="s">
        <v>1146</v>
      </c>
      <c r="C110" t="s">
        <v>1123</v>
      </c>
      <c r="D110" t="str">
        <f t="shared" si="1"/>
        <v>TCCC.3.9</v>
      </c>
    </row>
    <row r="111" spans="1:4">
      <c r="A111" t="s">
        <v>1147</v>
      </c>
      <c r="B111" t="s">
        <v>1148</v>
      </c>
      <c r="C111" t="s">
        <v>1149</v>
      </c>
      <c r="D111" t="str">
        <f t="shared" si="1"/>
        <v>TCCC.3.7.1</v>
      </c>
    </row>
    <row r="112" spans="1:4">
      <c r="A112" t="s">
        <v>1150</v>
      </c>
      <c r="B112" t="s">
        <v>1151</v>
      </c>
      <c r="C112" t="e">
        <f>#N/A</f>
        <v>#N/A</v>
      </c>
      <c r="D112" t="e">
        <f t="shared" si="1"/>
        <v>#N/A</v>
      </c>
    </row>
    <row r="113" spans="1:4">
      <c r="A113" t="s">
        <v>1152</v>
      </c>
      <c r="B113" t="s">
        <v>1153</v>
      </c>
      <c r="C113" t="s">
        <v>1154</v>
      </c>
      <c r="D113" t="str">
        <f t="shared" si="1"/>
        <v>TCCC.3.8.2</v>
      </c>
    </row>
    <row r="114" spans="1:4">
      <c r="A114" t="s">
        <v>1155</v>
      </c>
      <c r="B114" t="s">
        <v>1156</v>
      </c>
      <c r="C114" t="s">
        <v>1116</v>
      </c>
      <c r="D114" t="str">
        <f t="shared" si="1"/>
        <v>TCCC.3.4.3</v>
      </c>
    </row>
    <row r="115" spans="1:4">
      <c r="A115" t="s">
        <v>1157</v>
      </c>
      <c r="B115" t="s">
        <v>1158</v>
      </c>
      <c r="C115" t="s">
        <v>1159</v>
      </c>
      <c r="D115" t="str">
        <f t="shared" si="1"/>
        <v>TCCC.3.1</v>
      </c>
    </row>
    <row r="116" spans="1:4">
      <c r="A116" t="s">
        <v>1160</v>
      </c>
      <c r="B116" t="s">
        <v>1161</v>
      </c>
      <c r="C116" t="s">
        <v>1162</v>
      </c>
      <c r="D116" t="str">
        <f t="shared" si="1"/>
        <v>TCCC.3.2.2</v>
      </c>
    </row>
    <row r="117" spans="1:4">
      <c r="A117" t="s">
        <v>1163</v>
      </c>
      <c r="B117" t="s">
        <v>1164</v>
      </c>
      <c r="C117" t="s">
        <v>1138</v>
      </c>
      <c r="D117" t="str">
        <f t="shared" si="1"/>
        <v>TCCC.3.5</v>
      </c>
    </row>
    <row r="118" spans="1:4">
      <c r="A118" t="s">
        <v>1165</v>
      </c>
      <c r="B118" t="s">
        <v>1166</v>
      </c>
      <c r="C118" t="s">
        <v>1116</v>
      </c>
      <c r="D118" t="str">
        <f t="shared" si="1"/>
        <v>TCCC.3.4.3</v>
      </c>
    </row>
    <row r="119" spans="1:4">
      <c r="A119" t="s">
        <v>1167</v>
      </c>
      <c r="B119" t="s">
        <v>1168</v>
      </c>
      <c r="C119" t="s">
        <v>1126</v>
      </c>
      <c r="D119" t="str">
        <f t="shared" si="1"/>
        <v>TCCC.3.7.2</v>
      </c>
    </row>
    <row r="120" spans="1:4">
      <c r="A120" t="s">
        <v>1169</v>
      </c>
      <c r="B120" t="s">
        <v>1170</v>
      </c>
      <c r="C120" t="s">
        <v>1129</v>
      </c>
      <c r="D120" t="str">
        <f t="shared" si="1"/>
        <v>TCCC.3.4.2</v>
      </c>
    </row>
    <row r="121" spans="1:4">
      <c r="A121" t="s">
        <v>1171</v>
      </c>
      <c r="B121" t="s">
        <v>1172</v>
      </c>
      <c r="C121" t="s">
        <v>1126</v>
      </c>
      <c r="D121" t="str">
        <f t="shared" si="1"/>
        <v>TCCC.3.7.2</v>
      </c>
    </row>
    <row r="122" spans="1:4">
      <c r="A122" t="s">
        <v>1173</v>
      </c>
      <c r="B122" t="s">
        <v>1174</v>
      </c>
      <c r="C122" t="e">
        <f>#N/A</f>
        <v>#N/A</v>
      </c>
      <c r="D122" t="e">
        <f t="shared" si="1"/>
        <v>#N/A</v>
      </c>
    </row>
    <row r="123" spans="1:4">
      <c r="A123" t="s">
        <v>1175</v>
      </c>
      <c r="B123" t="s">
        <v>1176</v>
      </c>
      <c r="C123" t="s">
        <v>1116</v>
      </c>
      <c r="D123" t="str">
        <f t="shared" si="1"/>
        <v>TCCC.3.4.3</v>
      </c>
    </row>
    <row r="124" spans="1:4">
      <c r="A124" t="s">
        <v>1177</v>
      </c>
      <c r="B124" t="s">
        <v>1178</v>
      </c>
      <c r="C124" t="s">
        <v>1179</v>
      </c>
      <c r="D124" t="str">
        <f t="shared" si="1"/>
        <v>TCCC.3.6</v>
      </c>
    </row>
    <row r="125" spans="1:4">
      <c r="A125" t="s">
        <v>1180</v>
      </c>
      <c r="B125" t="s">
        <v>1181</v>
      </c>
      <c r="C125" t="s">
        <v>1159</v>
      </c>
      <c r="D125" t="str">
        <f t="shared" si="1"/>
        <v>TCCC.3.1</v>
      </c>
    </row>
    <row r="126" spans="1:4">
      <c r="A126" t="s">
        <v>1182</v>
      </c>
      <c r="B126" t="s">
        <v>1183</v>
      </c>
      <c r="C126" t="s">
        <v>1126</v>
      </c>
      <c r="D126" t="str">
        <f t="shared" si="1"/>
        <v>TCCC.3.7.2</v>
      </c>
    </row>
    <row r="127" spans="1:4">
      <c r="A127" t="s">
        <v>1184</v>
      </c>
      <c r="B127" t="s">
        <v>1185</v>
      </c>
      <c r="C127" t="s">
        <v>1186</v>
      </c>
      <c r="D127" t="str">
        <f t="shared" si="1"/>
        <v>TCCC.3.8.1</v>
      </c>
    </row>
    <row r="128" spans="1:4">
      <c r="A128" t="s">
        <v>1187</v>
      </c>
      <c r="B128" t="s">
        <v>1188</v>
      </c>
      <c r="C128" t="s">
        <v>1116</v>
      </c>
      <c r="D128" t="str">
        <f t="shared" si="1"/>
        <v>TCCC.3.4.3</v>
      </c>
    </row>
    <row r="129" spans="1:4">
      <c r="A129" t="s">
        <v>1189</v>
      </c>
      <c r="B129" t="s">
        <v>1190</v>
      </c>
      <c r="C129" t="s">
        <v>1116</v>
      </c>
      <c r="D129" t="str">
        <f t="shared" si="1"/>
        <v>TCCC.3.4.3</v>
      </c>
    </row>
    <row r="130" spans="1:4">
      <c r="A130" t="s">
        <v>1191</v>
      </c>
      <c r="B130" t="s">
        <v>1192</v>
      </c>
      <c r="C130" t="s">
        <v>1126</v>
      </c>
      <c r="D130" t="str">
        <f t="shared" ref="D130:D193" si="2">CONCATENATE("TCCC",RIGHT(C130,LEN(C130)-1))</f>
        <v>TCCC.3.7.2</v>
      </c>
    </row>
    <row r="131" spans="1:4">
      <c r="A131" t="s">
        <v>1193</v>
      </c>
      <c r="B131" t="s">
        <v>1194</v>
      </c>
      <c r="C131" t="s">
        <v>1126</v>
      </c>
      <c r="D131" t="str">
        <f t="shared" si="2"/>
        <v>TCCC.3.7.2</v>
      </c>
    </row>
    <row r="132" spans="1:4">
      <c r="A132" t="s">
        <v>1195</v>
      </c>
      <c r="B132" t="s">
        <v>1196</v>
      </c>
      <c r="C132" t="e">
        <f>#N/A</f>
        <v>#N/A</v>
      </c>
      <c r="D132" t="e">
        <f t="shared" si="2"/>
        <v>#N/A</v>
      </c>
    </row>
    <row r="133" spans="1:4">
      <c r="A133" t="s">
        <v>1197</v>
      </c>
      <c r="B133" t="s">
        <v>1198</v>
      </c>
      <c r="C133" t="s">
        <v>1141</v>
      </c>
      <c r="D133" t="str">
        <f t="shared" si="2"/>
        <v>TCCC.3.2.3</v>
      </c>
    </row>
    <row r="134" spans="1:4">
      <c r="A134" t="s">
        <v>1199</v>
      </c>
      <c r="B134" t="s">
        <v>1200</v>
      </c>
      <c r="C134" t="s">
        <v>1149</v>
      </c>
      <c r="D134" t="str">
        <f t="shared" si="2"/>
        <v>TCCC.3.7.1</v>
      </c>
    </row>
    <row r="135" spans="1:4">
      <c r="A135" t="s">
        <v>1201</v>
      </c>
      <c r="B135" t="s">
        <v>1202</v>
      </c>
      <c r="C135" t="e">
        <f>#N/A</f>
        <v>#N/A</v>
      </c>
      <c r="D135" t="e">
        <f t="shared" si="2"/>
        <v>#N/A</v>
      </c>
    </row>
    <row r="136" spans="1:4">
      <c r="A136" t="s">
        <v>1203</v>
      </c>
      <c r="B136" t="s">
        <v>1204</v>
      </c>
      <c r="C136" t="s">
        <v>1141</v>
      </c>
      <c r="D136" t="str">
        <f t="shared" si="2"/>
        <v>TCCC.3.2.3</v>
      </c>
    </row>
    <row r="137" spans="1:4">
      <c r="A137" t="s">
        <v>1205</v>
      </c>
      <c r="B137" t="s">
        <v>1206</v>
      </c>
      <c r="C137" t="s">
        <v>1159</v>
      </c>
      <c r="D137" t="str">
        <f t="shared" si="2"/>
        <v>TCCC.3.1</v>
      </c>
    </row>
    <row r="138" spans="1:4">
      <c r="A138" t="s">
        <v>1207</v>
      </c>
      <c r="B138" t="s">
        <v>1208</v>
      </c>
      <c r="C138" t="s">
        <v>1116</v>
      </c>
      <c r="D138" t="str">
        <f t="shared" si="2"/>
        <v>TCCC.3.4.3</v>
      </c>
    </row>
    <row r="139" spans="1:4">
      <c r="A139" t="s">
        <v>1209</v>
      </c>
      <c r="B139" t="s">
        <v>1210</v>
      </c>
      <c r="C139" t="s">
        <v>1116</v>
      </c>
      <c r="D139" t="str">
        <f t="shared" si="2"/>
        <v>TCCC.3.4.3</v>
      </c>
    </row>
    <row r="140" spans="1:4">
      <c r="A140" t="s">
        <v>1211</v>
      </c>
      <c r="B140" t="s">
        <v>1212</v>
      </c>
      <c r="C140" t="s">
        <v>1123</v>
      </c>
      <c r="D140" t="str">
        <f t="shared" si="2"/>
        <v>TCCC.3.9</v>
      </c>
    </row>
    <row r="141" spans="1:4">
      <c r="A141" t="s">
        <v>1213</v>
      </c>
      <c r="B141" t="s">
        <v>1214</v>
      </c>
      <c r="C141" t="s">
        <v>1159</v>
      </c>
      <c r="D141" t="str">
        <f t="shared" si="2"/>
        <v>TCCC.3.1</v>
      </c>
    </row>
    <row r="142" spans="1:4">
      <c r="A142" t="s">
        <v>1215</v>
      </c>
      <c r="B142" t="s">
        <v>1216</v>
      </c>
      <c r="C142" t="s">
        <v>1123</v>
      </c>
      <c r="D142" t="str">
        <f t="shared" si="2"/>
        <v>TCCC.3.9</v>
      </c>
    </row>
    <row r="143" spans="1:4">
      <c r="A143" t="s">
        <v>1217</v>
      </c>
      <c r="B143" t="s">
        <v>1218</v>
      </c>
      <c r="C143" t="s">
        <v>1109</v>
      </c>
      <c r="D143" t="str">
        <f t="shared" si="2"/>
        <v>TCCC.4.1.3</v>
      </c>
    </row>
    <row r="144" spans="1:4">
      <c r="A144" t="s">
        <v>1219</v>
      </c>
      <c r="B144" t="s">
        <v>1220</v>
      </c>
      <c r="C144" t="e">
        <f>#N/A</f>
        <v>#N/A</v>
      </c>
      <c r="D144" t="e">
        <f t="shared" si="2"/>
        <v>#N/A</v>
      </c>
    </row>
    <row r="145" spans="1:4">
      <c r="A145" t="s">
        <v>1221</v>
      </c>
      <c r="B145" t="s">
        <v>1222</v>
      </c>
      <c r="C145" t="s">
        <v>1116</v>
      </c>
      <c r="D145" t="str">
        <f t="shared" si="2"/>
        <v>TCCC.3.4.3</v>
      </c>
    </row>
    <row r="146" spans="1:4">
      <c r="A146" t="s">
        <v>1223</v>
      </c>
      <c r="B146" t="s">
        <v>1224</v>
      </c>
      <c r="C146" t="s">
        <v>1126</v>
      </c>
      <c r="D146" t="str">
        <f t="shared" si="2"/>
        <v>TCCC.3.7.2</v>
      </c>
    </row>
    <row r="147" spans="1:4">
      <c r="A147" t="s">
        <v>1225</v>
      </c>
      <c r="B147" t="s">
        <v>1226</v>
      </c>
      <c r="C147" t="s">
        <v>1116</v>
      </c>
      <c r="D147" t="str">
        <f t="shared" si="2"/>
        <v>TCCC.3.4.3</v>
      </c>
    </row>
    <row r="148" spans="1:4">
      <c r="A148" t="s">
        <v>1227</v>
      </c>
      <c r="B148" t="s">
        <v>1228</v>
      </c>
      <c r="C148" t="s">
        <v>1138</v>
      </c>
      <c r="D148" t="str">
        <f t="shared" si="2"/>
        <v>TCCC.3.5</v>
      </c>
    </row>
    <row r="149" spans="1:4">
      <c r="A149" t="s">
        <v>1229</v>
      </c>
      <c r="B149" t="s">
        <v>1230</v>
      </c>
      <c r="C149" t="s">
        <v>1154</v>
      </c>
      <c r="D149" t="str">
        <f t="shared" si="2"/>
        <v>TCCC.3.8.2</v>
      </c>
    </row>
    <row r="150" spans="1:4">
      <c r="A150" t="s">
        <v>1231</v>
      </c>
      <c r="B150" t="s">
        <v>1232</v>
      </c>
      <c r="C150" t="s">
        <v>1138</v>
      </c>
      <c r="D150" t="str">
        <f t="shared" si="2"/>
        <v>TCCC.3.5</v>
      </c>
    </row>
    <row r="151" spans="1:4">
      <c r="A151" t="s">
        <v>1233</v>
      </c>
      <c r="B151" t="s">
        <v>1234</v>
      </c>
      <c r="C151" t="s">
        <v>1159</v>
      </c>
      <c r="D151" t="str">
        <f t="shared" si="2"/>
        <v>TCCC.3.1</v>
      </c>
    </row>
    <row r="152" spans="1:4">
      <c r="A152" t="s">
        <v>1235</v>
      </c>
      <c r="B152" t="s">
        <v>1236</v>
      </c>
      <c r="C152" t="s">
        <v>1138</v>
      </c>
      <c r="D152" t="str">
        <f t="shared" si="2"/>
        <v>TCCC.3.5</v>
      </c>
    </row>
    <row r="153" spans="1:4">
      <c r="A153" t="s">
        <v>1237</v>
      </c>
      <c r="B153" t="s">
        <v>1238</v>
      </c>
      <c r="C153" t="e">
        <f>#N/A</f>
        <v>#N/A</v>
      </c>
      <c r="D153" t="e">
        <f t="shared" si="2"/>
        <v>#N/A</v>
      </c>
    </row>
    <row r="154" spans="1:4">
      <c r="A154" t="s">
        <v>1239</v>
      </c>
      <c r="B154" t="s">
        <v>1240</v>
      </c>
      <c r="C154" t="s">
        <v>1186</v>
      </c>
      <c r="D154" t="str">
        <f t="shared" si="2"/>
        <v>TCCC.3.8.1</v>
      </c>
    </row>
    <row r="155" spans="1:4">
      <c r="A155" t="s">
        <v>1241</v>
      </c>
      <c r="B155" t="s">
        <v>1242</v>
      </c>
      <c r="C155" t="s">
        <v>1159</v>
      </c>
      <c r="D155" t="str">
        <f t="shared" si="2"/>
        <v>TCCC.3.1</v>
      </c>
    </row>
    <row r="156" spans="1:4">
      <c r="A156" t="s">
        <v>1243</v>
      </c>
      <c r="B156" t="s">
        <v>1244</v>
      </c>
      <c r="C156" t="e">
        <f>#N/A</f>
        <v>#N/A</v>
      </c>
      <c r="D156" t="e">
        <f t="shared" si="2"/>
        <v>#N/A</v>
      </c>
    </row>
    <row r="157" spans="1:4">
      <c r="A157" t="s">
        <v>1245</v>
      </c>
      <c r="B157" t="s">
        <v>1246</v>
      </c>
      <c r="C157" t="s">
        <v>1116</v>
      </c>
      <c r="D157" t="str">
        <f t="shared" si="2"/>
        <v>TCCC.3.4.3</v>
      </c>
    </row>
    <row r="158" spans="1:4">
      <c r="A158" t="s">
        <v>1247</v>
      </c>
      <c r="B158" t="s">
        <v>1248</v>
      </c>
      <c r="C158" t="s">
        <v>1126</v>
      </c>
      <c r="D158" t="str">
        <f t="shared" si="2"/>
        <v>TCCC.3.7.2</v>
      </c>
    </row>
    <row r="159" spans="1:4">
      <c r="A159" t="s">
        <v>1249</v>
      </c>
      <c r="B159" t="s">
        <v>1250</v>
      </c>
      <c r="C159" t="s">
        <v>1123</v>
      </c>
      <c r="D159" t="str">
        <f t="shared" si="2"/>
        <v>TCCC.3.9</v>
      </c>
    </row>
    <row r="160" spans="1:4">
      <c r="A160" t="s">
        <v>1249</v>
      </c>
      <c r="B160" t="s">
        <v>1251</v>
      </c>
      <c r="C160" t="s">
        <v>1123</v>
      </c>
      <c r="D160" t="str">
        <f t="shared" si="2"/>
        <v>TCCC.3.9</v>
      </c>
    </row>
    <row r="161" spans="1:4">
      <c r="A161" t="s">
        <v>1252</v>
      </c>
      <c r="B161" t="s">
        <v>1253</v>
      </c>
      <c r="C161" t="s">
        <v>1116</v>
      </c>
      <c r="D161" t="str">
        <f t="shared" si="2"/>
        <v>TCCC.3.4.3</v>
      </c>
    </row>
    <row r="162" spans="1:4">
      <c r="A162" t="s">
        <v>1254</v>
      </c>
      <c r="B162" t="s">
        <v>1255</v>
      </c>
      <c r="C162" t="e">
        <f>#N/A</f>
        <v>#N/A</v>
      </c>
      <c r="D162" t="e">
        <f t="shared" si="2"/>
        <v>#N/A</v>
      </c>
    </row>
    <row r="163" spans="1:4">
      <c r="A163" t="s">
        <v>1256</v>
      </c>
      <c r="B163" t="s">
        <v>1257</v>
      </c>
      <c r="C163" t="e">
        <f>#N/A</f>
        <v>#N/A</v>
      </c>
      <c r="D163" t="e">
        <f t="shared" si="2"/>
        <v>#N/A</v>
      </c>
    </row>
    <row r="164" spans="1:4">
      <c r="A164" t="s">
        <v>1258</v>
      </c>
      <c r="B164" t="s">
        <v>1259</v>
      </c>
      <c r="C164" t="s">
        <v>1116</v>
      </c>
      <c r="D164" t="str">
        <f t="shared" si="2"/>
        <v>TCCC.3.4.3</v>
      </c>
    </row>
    <row r="165" spans="1:4">
      <c r="A165" t="s">
        <v>1260</v>
      </c>
      <c r="B165" t="s">
        <v>1261</v>
      </c>
      <c r="C165" t="s">
        <v>1116</v>
      </c>
      <c r="D165" t="str">
        <f t="shared" si="2"/>
        <v>TCCC.3.4.3</v>
      </c>
    </row>
    <row r="166" spans="1:4">
      <c r="A166" t="s">
        <v>1262</v>
      </c>
      <c r="B166" t="s">
        <v>292</v>
      </c>
      <c r="C166" t="e">
        <f>#N/A</f>
        <v>#N/A</v>
      </c>
      <c r="D166" t="e">
        <f t="shared" si="2"/>
        <v>#N/A</v>
      </c>
    </row>
    <row r="167" spans="1:4">
      <c r="A167" t="s">
        <v>1263</v>
      </c>
      <c r="B167" t="s">
        <v>301</v>
      </c>
      <c r="C167" t="s">
        <v>1264</v>
      </c>
      <c r="D167" t="str">
        <f t="shared" si="2"/>
        <v>TCCC.2.2.Al</v>
      </c>
    </row>
    <row r="168" spans="1:4">
      <c r="A168" t="s">
        <v>1265</v>
      </c>
      <c r="B168" t="s">
        <v>1266</v>
      </c>
      <c r="C168" t="e">
        <f>#N/A</f>
        <v>#N/A</v>
      </c>
      <c r="D168" t="e">
        <f t="shared" si="2"/>
        <v>#N/A</v>
      </c>
    </row>
    <row r="169" spans="1:4">
      <c r="A169" t="s">
        <v>1267</v>
      </c>
      <c r="B169" t="s">
        <v>1268</v>
      </c>
      <c r="C169" t="e">
        <f>#N/A</f>
        <v>#N/A</v>
      </c>
      <c r="D169" t="e">
        <f t="shared" si="2"/>
        <v>#N/A</v>
      </c>
    </row>
    <row r="170" spans="1:4">
      <c r="A170" t="s">
        <v>1269</v>
      </c>
      <c r="B170" t="s">
        <v>1270</v>
      </c>
      <c r="C170" t="s">
        <v>935</v>
      </c>
      <c r="D170" t="str">
        <f t="shared" si="2"/>
        <v>TCCC.2.2.nec</v>
      </c>
    </row>
    <row r="171" spans="1:4">
      <c r="A171" t="s">
        <v>1271</v>
      </c>
      <c r="B171" t="s">
        <v>1272</v>
      </c>
      <c r="C171" t="e">
        <f>#N/A</f>
        <v>#N/A</v>
      </c>
      <c r="D171" t="e">
        <f t="shared" si="2"/>
        <v>#N/A</v>
      </c>
    </row>
    <row r="172" spans="1:4">
      <c r="A172" t="s">
        <v>1273</v>
      </c>
      <c r="B172" t="s">
        <v>1274</v>
      </c>
      <c r="C172" t="e">
        <f>#N/A</f>
        <v>#N/A</v>
      </c>
      <c r="D172" t="e">
        <f t="shared" si="2"/>
        <v>#N/A</v>
      </c>
    </row>
    <row r="173" spans="1:4">
      <c r="A173" t="s">
        <v>1275</v>
      </c>
      <c r="B173" t="s">
        <v>295</v>
      </c>
      <c r="C173" t="e">
        <f>#N/A</f>
        <v>#N/A</v>
      </c>
      <c r="D173" t="e">
        <f t="shared" si="2"/>
        <v>#N/A</v>
      </c>
    </row>
    <row r="174" spans="1:4">
      <c r="A174" t="s">
        <v>1276</v>
      </c>
      <c r="B174" t="s">
        <v>1277</v>
      </c>
      <c r="C174" t="e">
        <f>#N/A</f>
        <v>#N/A</v>
      </c>
      <c r="D174" t="e">
        <f t="shared" si="2"/>
        <v>#N/A</v>
      </c>
    </row>
    <row r="175" spans="1:4">
      <c r="A175" t="s">
        <v>1278</v>
      </c>
      <c r="B175" t="s">
        <v>1279</v>
      </c>
      <c r="C175" t="e">
        <f>#N/A</f>
        <v>#N/A</v>
      </c>
      <c r="D175" t="e">
        <f t="shared" si="2"/>
        <v>#N/A</v>
      </c>
    </row>
    <row r="176" spans="1:4">
      <c r="A176" t="s">
        <v>1280</v>
      </c>
      <c r="B176" t="s">
        <v>1281</v>
      </c>
      <c r="C176" t="e">
        <f>#N/A</f>
        <v>#N/A</v>
      </c>
      <c r="D176" t="e">
        <f t="shared" si="2"/>
        <v>#N/A</v>
      </c>
    </row>
    <row r="177" spans="1:4">
      <c r="A177" t="s">
        <v>1282</v>
      </c>
      <c r="B177" t="s">
        <v>1283</v>
      </c>
      <c r="C177" t="s">
        <v>1141</v>
      </c>
      <c r="D177" t="str">
        <f t="shared" si="2"/>
        <v>TCCC.3.2.3</v>
      </c>
    </row>
    <row r="178" spans="1:4">
      <c r="A178" t="s">
        <v>1284</v>
      </c>
      <c r="B178" t="s">
        <v>1285</v>
      </c>
      <c r="C178" t="s">
        <v>935</v>
      </c>
      <c r="D178" t="str">
        <f t="shared" si="2"/>
        <v>TCCC.2.2.nec</v>
      </c>
    </row>
    <row r="179" spans="1:4">
      <c r="A179" t="s">
        <v>1286</v>
      </c>
      <c r="B179" t="s">
        <v>1287</v>
      </c>
      <c r="C179" t="e">
        <f>#N/A</f>
        <v>#N/A</v>
      </c>
      <c r="D179" t="e">
        <f t="shared" si="2"/>
        <v>#N/A</v>
      </c>
    </row>
    <row r="180" spans="1:4">
      <c r="A180" t="s">
        <v>1288</v>
      </c>
      <c r="B180" t="s">
        <v>1289</v>
      </c>
      <c r="C180" t="e">
        <f>#N/A</f>
        <v>#N/A</v>
      </c>
      <c r="D180" t="e">
        <f t="shared" si="2"/>
        <v>#N/A</v>
      </c>
    </row>
    <row r="181" spans="1:4">
      <c r="A181" t="s">
        <v>1290</v>
      </c>
      <c r="B181" t="s">
        <v>1291</v>
      </c>
      <c r="C181" t="e">
        <f>#N/A</f>
        <v>#N/A</v>
      </c>
      <c r="D181" t="e">
        <f t="shared" si="2"/>
        <v>#N/A</v>
      </c>
    </row>
    <row r="182" spans="1:4">
      <c r="A182" t="s">
        <v>1292</v>
      </c>
      <c r="B182" t="s">
        <v>330</v>
      </c>
      <c r="C182" t="s">
        <v>942</v>
      </c>
      <c r="D182" t="str">
        <f t="shared" si="2"/>
        <v>TCCC.2.2.Cr</v>
      </c>
    </row>
    <row r="183" spans="1:4">
      <c r="A183" t="s">
        <v>1293</v>
      </c>
      <c r="B183" t="s">
        <v>1294</v>
      </c>
      <c r="C183" t="e">
        <f>#N/A</f>
        <v>#N/A</v>
      </c>
      <c r="D183" t="e">
        <f t="shared" si="2"/>
        <v>#N/A</v>
      </c>
    </row>
    <row r="184" spans="1:4">
      <c r="A184" t="s">
        <v>1295</v>
      </c>
      <c r="B184" t="s">
        <v>1296</v>
      </c>
      <c r="C184" t="e">
        <f>#N/A</f>
        <v>#N/A</v>
      </c>
      <c r="D184" t="e">
        <f t="shared" si="2"/>
        <v>#N/A</v>
      </c>
    </row>
    <row r="185" spans="1:4">
      <c r="A185" t="s">
        <v>1297</v>
      </c>
      <c r="B185" t="s">
        <v>313</v>
      </c>
      <c r="C185" t="e">
        <f>#N/A</f>
        <v>#N/A</v>
      </c>
      <c r="D185" t="e">
        <f t="shared" si="2"/>
        <v>#N/A</v>
      </c>
    </row>
    <row r="186" spans="1:4">
      <c r="A186" t="s">
        <v>1298</v>
      </c>
      <c r="B186" t="s">
        <v>1299</v>
      </c>
      <c r="C186" t="e">
        <f>#N/A</f>
        <v>#N/A</v>
      </c>
      <c r="D186" t="e">
        <f t="shared" si="2"/>
        <v>#N/A</v>
      </c>
    </row>
    <row r="187" spans="1:4">
      <c r="A187" t="s">
        <v>1300</v>
      </c>
      <c r="B187" t="s">
        <v>1301</v>
      </c>
      <c r="C187" t="e">
        <f>#N/A</f>
        <v>#N/A</v>
      </c>
      <c r="D187" t="e">
        <f t="shared" si="2"/>
        <v>#N/A</v>
      </c>
    </row>
    <row r="188" spans="1:4">
      <c r="A188" t="s">
        <v>1302</v>
      </c>
      <c r="B188" t="s">
        <v>1303</v>
      </c>
      <c r="C188" t="e">
        <f>#N/A</f>
        <v>#N/A</v>
      </c>
      <c r="D188" t="e">
        <f t="shared" si="2"/>
        <v>#N/A</v>
      </c>
    </row>
    <row r="189" spans="1:4">
      <c r="A189" t="s">
        <v>1304</v>
      </c>
      <c r="B189" t="s">
        <v>1305</v>
      </c>
      <c r="C189" t="e">
        <f>#N/A</f>
        <v>#N/A</v>
      </c>
      <c r="D189" t="e">
        <f t="shared" si="2"/>
        <v>#N/A</v>
      </c>
    </row>
    <row r="190" spans="1:4">
      <c r="A190" t="s">
        <v>1306</v>
      </c>
      <c r="B190" t="s">
        <v>1307</v>
      </c>
      <c r="C190" t="e">
        <f>#N/A</f>
        <v>#N/A</v>
      </c>
      <c r="D190" t="e">
        <f t="shared" si="2"/>
        <v>#N/A</v>
      </c>
    </row>
    <row r="191" spans="1:4">
      <c r="A191" t="s">
        <v>1308</v>
      </c>
      <c r="B191" t="s">
        <v>1309</v>
      </c>
      <c r="C191" t="e">
        <f>#N/A</f>
        <v>#N/A</v>
      </c>
      <c r="D191" t="e">
        <f t="shared" si="2"/>
        <v>#N/A</v>
      </c>
    </row>
    <row r="192" spans="1:4">
      <c r="A192" t="s">
        <v>1310</v>
      </c>
      <c r="B192" t="s">
        <v>1311</v>
      </c>
      <c r="C192" t="e">
        <f>#N/A</f>
        <v>#N/A</v>
      </c>
      <c r="D192" t="e">
        <f t="shared" si="2"/>
        <v>#N/A</v>
      </c>
    </row>
    <row r="193" spans="1:4">
      <c r="A193" t="s">
        <v>1312</v>
      </c>
      <c r="B193" t="s">
        <v>1313</v>
      </c>
      <c r="C193" t="e">
        <f>#N/A</f>
        <v>#N/A</v>
      </c>
      <c r="D193" t="e">
        <f t="shared" si="2"/>
        <v>#N/A</v>
      </c>
    </row>
    <row r="194" spans="1:4">
      <c r="A194" t="s">
        <v>1314</v>
      </c>
      <c r="B194" t="s">
        <v>1315</v>
      </c>
      <c r="C194" t="s">
        <v>935</v>
      </c>
      <c r="D194" t="str">
        <f t="shared" ref="D194:D257" si="3">CONCATENATE("TCCC",RIGHT(C194,LEN(C194)-1))</f>
        <v>TCCC.2.2.nec</v>
      </c>
    </row>
    <row r="195" spans="1:4">
      <c r="A195" t="s">
        <v>1316</v>
      </c>
      <c r="B195" t="s">
        <v>1317</v>
      </c>
      <c r="C195" t="e">
        <f>#N/A</f>
        <v>#N/A</v>
      </c>
      <c r="D195" t="e">
        <f t="shared" si="3"/>
        <v>#N/A</v>
      </c>
    </row>
    <row r="196" spans="1:4">
      <c r="A196" t="s">
        <v>1318</v>
      </c>
      <c r="B196" t="s">
        <v>1319</v>
      </c>
      <c r="C196" t="e">
        <f>#N/A</f>
        <v>#N/A</v>
      </c>
      <c r="D196" t="e">
        <f t="shared" si="3"/>
        <v>#N/A</v>
      </c>
    </row>
    <row r="197" spans="1:4">
      <c r="A197" t="s">
        <v>1320</v>
      </c>
      <c r="B197" t="s">
        <v>1321</v>
      </c>
      <c r="C197" t="s">
        <v>935</v>
      </c>
      <c r="D197" t="str">
        <f t="shared" si="3"/>
        <v>TCCC.2.2.nec</v>
      </c>
    </row>
    <row r="198" spans="1:4">
      <c r="A198" t="s">
        <v>1322</v>
      </c>
      <c r="B198" t="s">
        <v>1323</v>
      </c>
      <c r="C198" t="e">
        <f>#N/A</f>
        <v>#N/A</v>
      </c>
      <c r="D198" t="e">
        <f t="shared" si="3"/>
        <v>#N/A</v>
      </c>
    </row>
    <row r="199" spans="1:4">
      <c r="A199" t="s">
        <v>1324</v>
      </c>
      <c r="B199" t="s">
        <v>1325</v>
      </c>
      <c r="C199" t="e">
        <f>#N/A</f>
        <v>#N/A</v>
      </c>
      <c r="D199" t="e">
        <f t="shared" si="3"/>
        <v>#N/A</v>
      </c>
    </row>
    <row r="200" spans="1:4">
      <c r="A200" t="s">
        <v>1326</v>
      </c>
      <c r="B200" t="s">
        <v>1327</v>
      </c>
      <c r="C200" t="s">
        <v>935</v>
      </c>
      <c r="D200" t="str">
        <f t="shared" si="3"/>
        <v>TCCC.2.2.nec</v>
      </c>
    </row>
    <row r="201" spans="1:4">
      <c r="A201" t="s">
        <v>1328</v>
      </c>
      <c r="B201" t="s">
        <v>1329</v>
      </c>
      <c r="C201" t="e">
        <f>#N/A</f>
        <v>#N/A</v>
      </c>
      <c r="D201" t="e">
        <f t="shared" si="3"/>
        <v>#N/A</v>
      </c>
    </row>
    <row r="202" spans="1:4">
      <c r="A202" t="s">
        <v>1330</v>
      </c>
      <c r="B202" t="s">
        <v>1331</v>
      </c>
      <c r="C202" t="e">
        <f>#N/A</f>
        <v>#N/A</v>
      </c>
      <c r="D202" t="e">
        <f t="shared" si="3"/>
        <v>#N/A</v>
      </c>
    </row>
    <row r="203" spans="1:4">
      <c r="A203" t="s">
        <v>1332</v>
      </c>
      <c r="B203" t="s">
        <v>1333</v>
      </c>
      <c r="C203" t="s">
        <v>935</v>
      </c>
      <c r="D203" t="str">
        <f t="shared" si="3"/>
        <v>TCCC.2.2.nec</v>
      </c>
    </row>
    <row r="204" spans="1:4">
      <c r="A204" t="s">
        <v>1334</v>
      </c>
      <c r="B204" t="s">
        <v>1335</v>
      </c>
      <c r="C204" t="e">
        <f>#N/A</f>
        <v>#N/A</v>
      </c>
      <c r="D204" t="e">
        <f t="shared" si="3"/>
        <v>#N/A</v>
      </c>
    </row>
    <row r="205" spans="1:4">
      <c r="A205" t="s">
        <v>1336</v>
      </c>
      <c r="B205" t="s">
        <v>1337</v>
      </c>
      <c r="C205" t="e">
        <f>#N/A</f>
        <v>#N/A</v>
      </c>
      <c r="D205" t="e">
        <f t="shared" si="3"/>
        <v>#N/A</v>
      </c>
    </row>
    <row r="206" spans="1:4">
      <c r="A206" t="s">
        <v>1338</v>
      </c>
      <c r="B206" t="s">
        <v>1339</v>
      </c>
      <c r="C206" t="e">
        <f>#N/A</f>
        <v>#N/A</v>
      </c>
      <c r="D206" t="e">
        <f t="shared" si="3"/>
        <v>#N/A</v>
      </c>
    </row>
    <row r="207" spans="1:4">
      <c r="A207" t="s">
        <v>1340</v>
      </c>
      <c r="B207" t="s">
        <v>1341</v>
      </c>
      <c r="C207" t="e">
        <f>#N/A</f>
        <v>#N/A</v>
      </c>
      <c r="D207" t="e">
        <f t="shared" si="3"/>
        <v>#N/A</v>
      </c>
    </row>
    <row r="208" spans="1:4">
      <c r="A208" t="s">
        <v>1342</v>
      </c>
      <c r="B208" t="s">
        <v>1343</v>
      </c>
      <c r="C208" t="e">
        <f>#N/A</f>
        <v>#N/A</v>
      </c>
      <c r="D208" t="e">
        <f t="shared" si="3"/>
        <v>#N/A</v>
      </c>
    </row>
    <row r="209" spans="1:4">
      <c r="A209" t="s">
        <v>1344</v>
      </c>
      <c r="B209" t="s">
        <v>1345</v>
      </c>
      <c r="C209" t="e">
        <f>#N/A</f>
        <v>#N/A</v>
      </c>
      <c r="D209" t="e">
        <f t="shared" si="3"/>
        <v>#N/A</v>
      </c>
    </row>
    <row r="210" spans="1:4">
      <c r="A210" t="s">
        <v>1346</v>
      </c>
      <c r="B210" t="s">
        <v>1347</v>
      </c>
      <c r="C210" t="e">
        <f>#N/A</f>
        <v>#N/A</v>
      </c>
      <c r="D210" t="e">
        <f t="shared" si="3"/>
        <v>#N/A</v>
      </c>
    </row>
    <row r="211" spans="1:4">
      <c r="A211" t="s">
        <v>1348</v>
      </c>
      <c r="B211" t="s">
        <v>1349</v>
      </c>
      <c r="C211" t="e">
        <f>#N/A</f>
        <v>#N/A</v>
      </c>
      <c r="D211" t="e">
        <f t="shared" si="3"/>
        <v>#N/A</v>
      </c>
    </row>
    <row r="212" spans="1:4">
      <c r="A212" t="s">
        <v>1350</v>
      </c>
      <c r="B212" t="s">
        <v>1351</v>
      </c>
      <c r="C212" t="s">
        <v>935</v>
      </c>
      <c r="D212" t="str">
        <f t="shared" si="3"/>
        <v>TCCC.2.2.nec</v>
      </c>
    </row>
    <row r="213" spans="1:4">
      <c r="A213" t="s">
        <v>1352</v>
      </c>
      <c r="B213" t="s">
        <v>1353</v>
      </c>
      <c r="C213" t="s">
        <v>935</v>
      </c>
      <c r="D213" t="str">
        <f t="shared" si="3"/>
        <v>TCCC.2.2.nec</v>
      </c>
    </row>
    <row r="214" spans="1:4">
      <c r="A214" t="s">
        <v>1354</v>
      </c>
      <c r="B214" t="s">
        <v>1355</v>
      </c>
      <c r="C214" t="e">
        <f>#N/A</f>
        <v>#N/A</v>
      </c>
      <c r="D214" t="e">
        <f t="shared" si="3"/>
        <v>#N/A</v>
      </c>
    </row>
    <row r="215" spans="1:4">
      <c r="A215" t="s">
        <v>1356</v>
      </c>
      <c r="B215" t="s">
        <v>1357</v>
      </c>
      <c r="C215" t="e">
        <f>#N/A</f>
        <v>#N/A</v>
      </c>
      <c r="D215" t="e">
        <f t="shared" si="3"/>
        <v>#N/A</v>
      </c>
    </row>
    <row r="216" spans="1:4">
      <c r="A216" t="s">
        <v>1358</v>
      </c>
      <c r="B216" t="s">
        <v>1359</v>
      </c>
      <c r="C216" t="e">
        <f>#N/A</f>
        <v>#N/A</v>
      </c>
      <c r="D216" t="e">
        <f t="shared" si="3"/>
        <v>#N/A</v>
      </c>
    </row>
    <row r="217" spans="1:4">
      <c r="A217" t="s">
        <v>1360</v>
      </c>
      <c r="B217" t="s">
        <v>324</v>
      </c>
      <c r="C217" t="s">
        <v>935</v>
      </c>
      <c r="D217" t="str">
        <f t="shared" si="3"/>
        <v>TCCC.2.2.nec</v>
      </c>
    </row>
    <row r="218" spans="1:4">
      <c r="A218" t="s">
        <v>1361</v>
      </c>
      <c r="B218" t="s">
        <v>1362</v>
      </c>
      <c r="C218" t="e">
        <f>#N/A</f>
        <v>#N/A</v>
      </c>
      <c r="D218" t="e">
        <f t="shared" si="3"/>
        <v>#N/A</v>
      </c>
    </row>
    <row r="219" spans="1:4">
      <c r="A219" t="s">
        <v>1363</v>
      </c>
      <c r="B219" t="s">
        <v>328</v>
      </c>
      <c r="C219" t="e">
        <f>#N/A</f>
        <v>#N/A</v>
      </c>
      <c r="D219" t="e">
        <f t="shared" si="3"/>
        <v>#N/A</v>
      </c>
    </row>
    <row r="220" spans="1:4">
      <c r="A220" t="s">
        <v>1364</v>
      </c>
      <c r="B220" t="s">
        <v>1365</v>
      </c>
      <c r="C220" t="e">
        <f>#N/A</f>
        <v>#N/A</v>
      </c>
      <c r="D220" t="e">
        <f t="shared" si="3"/>
        <v>#N/A</v>
      </c>
    </row>
    <row r="221" spans="1:4">
      <c r="A221" t="s">
        <v>1366</v>
      </c>
      <c r="B221" t="s">
        <v>1367</v>
      </c>
      <c r="C221" t="e">
        <f>#N/A</f>
        <v>#N/A</v>
      </c>
      <c r="D221" t="e">
        <f t="shared" si="3"/>
        <v>#N/A</v>
      </c>
    </row>
    <row r="222" spans="1:4">
      <c r="A222" t="s">
        <v>1368</v>
      </c>
      <c r="B222" t="s">
        <v>1369</v>
      </c>
      <c r="C222" t="e">
        <f>#N/A</f>
        <v>#N/A</v>
      </c>
      <c r="D222" t="e">
        <f t="shared" si="3"/>
        <v>#N/A</v>
      </c>
    </row>
    <row r="223" spans="1:4">
      <c r="A223" t="s">
        <v>1370</v>
      </c>
      <c r="B223" t="s">
        <v>1371</v>
      </c>
      <c r="C223" t="e">
        <f>#N/A</f>
        <v>#N/A</v>
      </c>
      <c r="D223" t="e">
        <f t="shared" si="3"/>
        <v>#N/A</v>
      </c>
    </row>
    <row r="224" spans="1:4">
      <c r="A224" t="s">
        <v>1372</v>
      </c>
      <c r="B224" t="s">
        <v>1373</v>
      </c>
      <c r="C224" t="e">
        <f>#N/A</f>
        <v>#N/A</v>
      </c>
      <c r="D224" t="e">
        <f t="shared" si="3"/>
        <v>#N/A</v>
      </c>
    </row>
    <row r="225" spans="1:4">
      <c r="A225" t="s">
        <v>1374</v>
      </c>
      <c r="B225" t="s">
        <v>1375</v>
      </c>
      <c r="C225" t="e">
        <f>#N/A</f>
        <v>#N/A</v>
      </c>
      <c r="D225" t="e">
        <f t="shared" si="3"/>
        <v>#N/A</v>
      </c>
    </row>
    <row r="226" spans="1:4">
      <c r="A226" t="s">
        <v>1376</v>
      </c>
      <c r="B226" t="s">
        <v>316</v>
      </c>
      <c r="C226" t="e">
        <f>#N/A</f>
        <v>#N/A</v>
      </c>
      <c r="D226" t="e">
        <f t="shared" si="3"/>
        <v>#N/A</v>
      </c>
    </row>
    <row r="227" spans="1:4">
      <c r="A227" t="s">
        <v>1377</v>
      </c>
      <c r="B227" t="s">
        <v>1378</v>
      </c>
      <c r="C227" t="e">
        <f>#N/A</f>
        <v>#N/A</v>
      </c>
      <c r="D227" t="e">
        <f t="shared" si="3"/>
        <v>#N/A</v>
      </c>
    </row>
    <row r="228" spans="1:4">
      <c r="A228" t="s">
        <v>1379</v>
      </c>
      <c r="B228" t="s">
        <v>304</v>
      </c>
      <c r="C228" t="e">
        <f>#N/A</f>
        <v>#N/A</v>
      </c>
      <c r="D228" t="e">
        <f t="shared" si="3"/>
        <v>#N/A</v>
      </c>
    </row>
    <row r="229" spans="1:4">
      <c r="A229" t="s">
        <v>1380</v>
      </c>
      <c r="B229" t="s">
        <v>1381</v>
      </c>
      <c r="C229" t="e">
        <f>#N/A</f>
        <v>#N/A</v>
      </c>
      <c r="D229" t="e">
        <f t="shared" si="3"/>
        <v>#N/A</v>
      </c>
    </row>
    <row r="230" spans="1:4">
      <c r="A230" t="s">
        <v>1382</v>
      </c>
      <c r="B230" t="s">
        <v>1383</v>
      </c>
      <c r="C230" t="e">
        <f>#N/A</f>
        <v>#N/A</v>
      </c>
      <c r="D230" t="e">
        <f t="shared" si="3"/>
        <v>#N/A</v>
      </c>
    </row>
    <row r="231" spans="1:4">
      <c r="A231" t="s">
        <v>1384</v>
      </c>
      <c r="B231" t="s">
        <v>1385</v>
      </c>
      <c r="C231" t="s">
        <v>963</v>
      </c>
      <c r="D231" t="str">
        <f t="shared" si="3"/>
        <v>TCCC.2.2.Pt</v>
      </c>
    </row>
    <row r="232" spans="1:4">
      <c r="A232" t="s">
        <v>1386</v>
      </c>
      <c r="B232" t="s">
        <v>1387</v>
      </c>
      <c r="C232" t="e">
        <f>#N/A</f>
        <v>#N/A</v>
      </c>
      <c r="D232" t="e">
        <f t="shared" si="3"/>
        <v>#N/A</v>
      </c>
    </row>
    <row r="233" spans="1:4">
      <c r="A233" t="s">
        <v>1388</v>
      </c>
      <c r="B233" t="s">
        <v>1389</v>
      </c>
      <c r="C233" t="e">
        <f>#N/A</f>
        <v>#N/A</v>
      </c>
      <c r="D233" t="e">
        <f t="shared" si="3"/>
        <v>#N/A</v>
      </c>
    </row>
    <row r="234" spans="1:4">
      <c r="A234" t="s">
        <v>1390</v>
      </c>
      <c r="B234" t="s">
        <v>1391</v>
      </c>
      <c r="C234" t="e">
        <f>#N/A</f>
        <v>#N/A</v>
      </c>
      <c r="D234" t="e">
        <f t="shared" si="3"/>
        <v>#N/A</v>
      </c>
    </row>
    <row r="235" spans="1:4">
      <c r="A235" t="s">
        <v>1392</v>
      </c>
      <c r="B235" t="s">
        <v>1393</v>
      </c>
      <c r="C235" t="e">
        <f>#N/A</f>
        <v>#N/A</v>
      </c>
      <c r="D235" t="e">
        <f t="shared" si="3"/>
        <v>#N/A</v>
      </c>
    </row>
    <row r="236" spans="1:4">
      <c r="A236" t="s">
        <v>1394</v>
      </c>
      <c r="B236" t="s">
        <v>298</v>
      </c>
      <c r="C236" t="e">
        <f>#N/A</f>
        <v>#N/A</v>
      </c>
      <c r="D236" t="e">
        <f t="shared" si="3"/>
        <v>#N/A</v>
      </c>
    </row>
    <row r="237" spans="1:4">
      <c r="A237" t="s">
        <v>1395</v>
      </c>
      <c r="B237" t="s">
        <v>1396</v>
      </c>
      <c r="C237" t="e">
        <f>#N/A</f>
        <v>#N/A</v>
      </c>
      <c r="D237" t="e">
        <f t="shared" si="3"/>
        <v>#N/A</v>
      </c>
    </row>
    <row r="238" spans="1:4">
      <c r="A238" t="s">
        <v>1397</v>
      </c>
      <c r="B238" t="s">
        <v>1398</v>
      </c>
      <c r="C238" t="s">
        <v>935</v>
      </c>
      <c r="D238" t="str">
        <f t="shared" si="3"/>
        <v>TCCC.2.2.nec</v>
      </c>
    </row>
    <row r="239" spans="1:4">
      <c r="A239" t="s">
        <v>1399</v>
      </c>
      <c r="B239" t="s">
        <v>1400</v>
      </c>
      <c r="C239" t="s">
        <v>935</v>
      </c>
      <c r="D239" t="str">
        <f t="shared" si="3"/>
        <v>TCCC.2.2.nec</v>
      </c>
    </row>
    <row r="240" spans="1:4">
      <c r="A240" t="s">
        <v>1401</v>
      </c>
      <c r="B240" t="s">
        <v>1402</v>
      </c>
      <c r="C240" t="e">
        <f>#N/A</f>
        <v>#N/A</v>
      </c>
      <c r="D240" t="e">
        <f t="shared" si="3"/>
        <v>#N/A</v>
      </c>
    </row>
    <row r="241" spans="1:4">
      <c r="A241" t="s">
        <v>1403</v>
      </c>
      <c r="B241" t="s">
        <v>1404</v>
      </c>
      <c r="C241" t="e">
        <f>#N/A</f>
        <v>#N/A</v>
      </c>
      <c r="D241" t="e">
        <f t="shared" si="3"/>
        <v>#N/A</v>
      </c>
    </row>
    <row r="242" spans="1:4">
      <c r="A242" t="s">
        <v>1405</v>
      </c>
      <c r="B242" t="s">
        <v>1406</v>
      </c>
      <c r="C242" t="e">
        <f>#N/A</f>
        <v>#N/A</v>
      </c>
      <c r="D242" t="e">
        <f t="shared" si="3"/>
        <v>#N/A</v>
      </c>
    </row>
    <row r="243" spans="1:4">
      <c r="A243" t="s">
        <v>1407</v>
      </c>
      <c r="B243" t="s">
        <v>1408</v>
      </c>
      <c r="C243" t="e">
        <f>#N/A</f>
        <v>#N/A</v>
      </c>
      <c r="D243" t="e">
        <f t="shared" si="3"/>
        <v>#N/A</v>
      </c>
    </row>
    <row r="244" spans="1:4">
      <c r="A244" t="s">
        <v>1409</v>
      </c>
      <c r="B244" t="s">
        <v>1410</v>
      </c>
      <c r="C244" t="e">
        <f>#N/A</f>
        <v>#N/A</v>
      </c>
      <c r="D244" t="e">
        <f t="shared" si="3"/>
        <v>#N/A</v>
      </c>
    </row>
    <row r="245" spans="1:4">
      <c r="A245" t="s">
        <v>1411</v>
      </c>
      <c r="B245" t="s">
        <v>1412</v>
      </c>
      <c r="C245" t="s">
        <v>935</v>
      </c>
      <c r="D245" t="str">
        <f t="shared" si="3"/>
        <v>TCCC.2.2.nec</v>
      </c>
    </row>
    <row r="246" spans="1:4">
      <c r="A246" t="s">
        <v>1413</v>
      </c>
      <c r="B246" t="s">
        <v>1414</v>
      </c>
      <c r="C246" t="e">
        <f>#N/A</f>
        <v>#N/A</v>
      </c>
      <c r="D246" t="e">
        <f t="shared" si="3"/>
        <v>#N/A</v>
      </c>
    </row>
    <row r="247" spans="1:4">
      <c r="A247" t="s">
        <v>1415</v>
      </c>
      <c r="B247" t="s">
        <v>1416</v>
      </c>
      <c r="C247" t="e">
        <f>#N/A</f>
        <v>#N/A</v>
      </c>
      <c r="D247" t="e">
        <f t="shared" si="3"/>
        <v>#N/A</v>
      </c>
    </row>
    <row r="248" spans="1:4">
      <c r="A248" t="s">
        <v>1417</v>
      </c>
      <c r="B248" t="s">
        <v>1418</v>
      </c>
      <c r="C248" t="e">
        <f>#N/A</f>
        <v>#N/A</v>
      </c>
      <c r="D248" t="e">
        <f t="shared" si="3"/>
        <v>#N/A</v>
      </c>
    </row>
    <row r="249" spans="1:4">
      <c r="A249" t="s">
        <v>1419</v>
      </c>
      <c r="B249" t="s">
        <v>310</v>
      </c>
      <c r="C249" t="e">
        <f>#N/A</f>
        <v>#N/A</v>
      </c>
      <c r="D249" t="e">
        <f t="shared" si="3"/>
        <v>#N/A</v>
      </c>
    </row>
    <row r="250" spans="1:4">
      <c r="A250" t="s">
        <v>1420</v>
      </c>
      <c r="B250" t="s">
        <v>1421</v>
      </c>
      <c r="C250" t="e">
        <f>#N/A</f>
        <v>#N/A</v>
      </c>
      <c r="D250" t="e">
        <f t="shared" si="3"/>
        <v>#N/A</v>
      </c>
    </row>
    <row r="251" spans="1:4">
      <c r="A251" t="s">
        <v>1422</v>
      </c>
      <c r="B251" t="s">
        <v>322</v>
      </c>
      <c r="C251" t="e">
        <f>#N/A</f>
        <v>#N/A</v>
      </c>
      <c r="D251" t="e">
        <f t="shared" si="3"/>
        <v>#N/A</v>
      </c>
    </row>
    <row r="252" spans="1:4">
      <c r="A252" t="s">
        <v>1423</v>
      </c>
      <c r="B252" t="s">
        <v>1424</v>
      </c>
      <c r="C252" t="e">
        <f>#N/A</f>
        <v>#N/A</v>
      </c>
      <c r="D252" t="e">
        <f t="shared" si="3"/>
        <v>#N/A</v>
      </c>
    </row>
    <row r="253" spans="1:4">
      <c r="A253" t="s">
        <v>1425</v>
      </c>
      <c r="B253" t="s">
        <v>1426</v>
      </c>
      <c r="C253" t="e">
        <f>#N/A</f>
        <v>#N/A</v>
      </c>
      <c r="D253" t="e">
        <f t="shared" si="3"/>
        <v>#N/A</v>
      </c>
    </row>
    <row r="254" spans="1:4">
      <c r="A254" t="s">
        <v>1427</v>
      </c>
      <c r="B254" t="s">
        <v>1428</v>
      </c>
      <c r="C254" t="e">
        <f>#N/A</f>
        <v>#N/A</v>
      </c>
      <c r="D254" t="e">
        <f t="shared" si="3"/>
        <v>#N/A</v>
      </c>
    </row>
    <row r="255" spans="1:4">
      <c r="A255" t="s">
        <v>1429</v>
      </c>
      <c r="B255" t="s">
        <v>1430</v>
      </c>
      <c r="C255" t="e">
        <f>#N/A</f>
        <v>#N/A</v>
      </c>
      <c r="D255" t="e">
        <f t="shared" si="3"/>
        <v>#N/A</v>
      </c>
    </row>
    <row r="256" spans="1:4">
      <c r="A256" t="s">
        <v>1431</v>
      </c>
      <c r="B256" t="s">
        <v>1432</v>
      </c>
      <c r="C256" t="e">
        <f>#N/A</f>
        <v>#N/A</v>
      </c>
      <c r="D256" t="e">
        <f t="shared" si="3"/>
        <v>#N/A</v>
      </c>
    </row>
    <row r="257" spans="1:4">
      <c r="A257" t="s">
        <v>1433</v>
      </c>
      <c r="B257" t="s">
        <v>1434</v>
      </c>
      <c r="C257" t="e">
        <f>#N/A</f>
        <v>#N/A</v>
      </c>
      <c r="D257" t="e">
        <f t="shared" si="3"/>
        <v>#N/A</v>
      </c>
    </row>
    <row r="258" spans="1:4">
      <c r="A258" t="s">
        <v>1435</v>
      </c>
      <c r="B258" t="s">
        <v>1436</v>
      </c>
      <c r="C258" t="e">
        <f>#N/A</f>
        <v>#N/A</v>
      </c>
      <c r="D258" t="e">
        <f t="shared" ref="D258:D321" si="4">CONCATENATE("TCCC",RIGHT(C258,LEN(C258)-1))</f>
        <v>#N/A</v>
      </c>
    </row>
    <row r="259" spans="1:4">
      <c r="A259" t="s">
        <v>1437</v>
      </c>
      <c r="B259" t="s">
        <v>1438</v>
      </c>
      <c r="C259" t="e">
        <f>#N/A</f>
        <v>#N/A</v>
      </c>
      <c r="D259" t="e">
        <f t="shared" si="4"/>
        <v>#N/A</v>
      </c>
    </row>
    <row r="260" spans="1:4">
      <c r="A260" t="s">
        <v>1439</v>
      </c>
      <c r="B260" t="s">
        <v>1440</v>
      </c>
      <c r="C260" t="e">
        <f>#N/A</f>
        <v>#N/A</v>
      </c>
      <c r="D260" t="e">
        <f t="shared" si="4"/>
        <v>#N/A</v>
      </c>
    </row>
    <row r="261" spans="1:4">
      <c r="A261" t="s">
        <v>1441</v>
      </c>
      <c r="B261" t="s">
        <v>1442</v>
      </c>
      <c r="C261" t="e">
        <f>#N/A</f>
        <v>#N/A</v>
      </c>
      <c r="D261" t="e">
        <f t="shared" si="4"/>
        <v>#N/A</v>
      </c>
    </row>
    <row r="262" spans="1:4">
      <c r="A262" t="s">
        <v>1443</v>
      </c>
      <c r="B262" t="s">
        <v>1444</v>
      </c>
      <c r="C262" t="e">
        <f>#N/A</f>
        <v>#N/A</v>
      </c>
      <c r="D262" t="e">
        <f t="shared" si="4"/>
        <v>#N/A</v>
      </c>
    </row>
    <row r="263" spans="1:4">
      <c r="A263" t="s">
        <v>1445</v>
      </c>
      <c r="B263" t="s">
        <v>1446</v>
      </c>
      <c r="C263" t="e">
        <f>#N/A</f>
        <v>#N/A</v>
      </c>
      <c r="D263" t="e">
        <f t="shared" si="4"/>
        <v>#N/A</v>
      </c>
    </row>
    <row r="264" spans="1:4">
      <c r="A264" t="s">
        <v>1447</v>
      </c>
      <c r="B264" t="s">
        <v>1448</v>
      </c>
      <c r="C264" t="e">
        <f>#N/A</f>
        <v>#N/A</v>
      </c>
      <c r="D264" t="e">
        <f t="shared" si="4"/>
        <v>#N/A</v>
      </c>
    </row>
    <row r="265" spans="1:4">
      <c r="A265" t="s">
        <v>1449</v>
      </c>
      <c r="B265" t="s">
        <v>1450</v>
      </c>
      <c r="C265" t="e">
        <f>#N/A</f>
        <v>#N/A</v>
      </c>
      <c r="D265" t="e">
        <f t="shared" si="4"/>
        <v>#N/A</v>
      </c>
    </row>
    <row r="266" spans="1:4">
      <c r="A266" t="s">
        <v>1451</v>
      </c>
      <c r="B266" t="s">
        <v>319</v>
      </c>
      <c r="C266" t="e">
        <f>#N/A</f>
        <v>#N/A</v>
      </c>
      <c r="D266" t="e">
        <f t="shared" si="4"/>
        <v>#N/A</v>
      </c>
    </row>
    <row r="267" spans="1:4">
      <c r="A267" t="s">
        <v>1452</v>
      </c>
      <c r="B267" t="s">
        <v>1453</v>
      </c>
      <c r="C267" t="e">
        <f>#N/A</f>
        <v>#N/A</v>
      </c>
      <c r="D267" t="e">
        <f t="shared" si="4"/>
        <v>#N/A</v>
      </c>
    </row>
    <row r="268" spans="1:4">
      <c r="A268" t="s">
        <v>1454</v>
      </c>
      <c r="B268" t="s">
        <v>1455</v>
      </c>
      <c r="C268" t="e">
        <f>#N/A</f>
        <v>#N/A</v>
      </c>
      <c r="D268" t="e">
        <f t="shared" si="4"/>
        <v>#N/A</v>
      </c>
    </row>
    <row r="269" spans="1:4">
      <c r="A269" t="s">
        <v>1456</v>
      </c>
      <c r="B269" t="s">
        <v>1457</v>
      </c>
      <c r="C269" t="e">
        <f>#N/A</f>
        <v>#N/A</v>
      </c>
      <c r="D269" t="e">
        <f t="shared" si="4"/>
        <v>#N/A</v>
      </c>
    </row>
    <row r="270" spans="1:4">
      <c r="A270" t="s">
        <v>1458</v>
      </c>
      <c r="B270" t="s">
        <v>1459</v>
      </c>
      <c r="C270" t="e">
        <f>#N/A</f>
        <v>#N/A</v>
      </c>
      <c r="D270" t="e">
        <f t="shared" si="4"/>
        <v>#N/A</v>
      </c>
    </row>
    <row r="271" spans="1:4">
      <c r="A271" t="s">
        <v>1460</v>
      </c>
      <c r="B271" t="s">
        <v>1461</v>
      </c>
      <c r="C271" t="e">
        <f>#N/A</f>
        <v>#N/A</v>
      </c>
      <c r="D271" t="e">
        <f t="shared" si="4"/>
        <v>#N/A</v>
      </c>
    </row>
    <row r="272" spans="1:4">
      <c r="A272" t="s">
        <v>1462</v>
      </c>
      <c r="B272" t="s">
        <v>307</v>
      </c>
      <c r="C272" t="e">
        <f>#N/A</f>
        <v>#N/A</v>
      </c>
      <c r="D272" t="e">
        <f t="shared" si="4"/>
        <v>#N/A</v>
      </c>
    </row>
    <row r="273" spans="1:4">
      <c r="A273" t="s">
        <v>1463</v>
      </c>
      <c r="B273" t="s">
        <v>1464</v>
      </c>
      <c r="C273" t="e">
        <f>#N/A</f>
        <v>#N/A</v>
      </c>
      <c r="D273" t="e">
        <f t="shared" si="4"/>
        <v>#N/A</v>
      </c>
    </row>
    <row r="274" spans="1:4">
      <c r="A274" t="s">
        <v>1465</v>
      </c>
      <c r="B274" t="s">
        <v>1466</v>
      </c>
      <c r="C274" t="s">
        <v>1116</v>
      </c>
      <c r="D274" t="str">
        <f t="shared" si="4"/>
        <v>TCCC.3.4.3</v>
      </c>
    </row>
    <row r="275" spans="1:4">
      <c r="A275" t="s">
        <v>1467</v>
      </c>
      <c r="B275" t="s">
        <v>1468</v>
      </c>
      <c r="C275" t="e">
        <f>#N/A</f>
        <v>#N/A</v>
      </c>
      <c r="D275" t="e">
        <f t="shared" si="4"/>
        <v>#N/A</v>
      </c>
    </row>
    <row r="276" spans="1:4">
      <c r="A276" t="s">
        <v>1469</v>
      </c>
      <c r="B276" t="s">
        <v>1470</v>
      </c>
      <c r="C276" t="e">
        <f>#N/A</f>
        <v>#N/A</v>
      </c>
      <c r="D276" t="e">
        <f t="shared" si="4"/>
        <v>#N/A</v>
      </c>
    </row>
    <row r="277" spans="1:4">
      <c r="A277" t="s">
        <v>1471</v>
      </c>
      <c r="B277" t="s">
        <v>1472</v>
      </c>
      <c r="C277" t="s">
        <v>1116</v>
      </c>
      <c r="D277" t="str">
        <f t="shared" si="4"/>
        <v>TCCC.3.4.3</v>
      </c>
    </row>
    <row r="278" spans="1:4">
      <c r="A278" t="s">
        <v>1473</v>
      </c>
      <c r="B278" t="s">
        <v>1474</v>
      </c>
      <c r="C278" t="e">
        <f>#N/A</f>
        <v>#N/A</v>
      </c>
      <c r="D278" t="e">
        <f t="shared" si="4"/>
        <v>#N/A</v>
      </c>
    </row>
    <row r="279" spans="1:4">
      <c r="A279" t="s">
        <v>1475</v>
      </c>
      <c r="B279" t="s">
        <v>1476</v>
      </c>
      <c r="C279" t="e">
        <f>#N/A</f>
        <v>#N/A</v>
      </c>
      <c r="D279" t="e">
        <f t="shared" si="4"/>
        <v>#N/A</v>
      </c>
    </row>
    <row r="280" spans="1:4">
      <c r="A280" t="s">
        <v>1477</v>
      </c>
      <c r="B280" t="s">
        <v>1478</v>
      </c>
      <c r="C280" t="e">
        <f>#N/A</f>
        <v>#N/A</v>
      </c>
      <c r="D280" t="e">
        <f t="shared" si="4"/>
        <v>#N/A</v>
      </c>
    </row>
    <row r="281" spans="1:4">
      <c r="A281" t="s">
        <v>1479</v>
      </c>
      <c r="B281" t="s">
        <v>1480</v>
      </c>
      <c r="C281" t="s">
        <v>1481</v>
      </c>
      <c r="D281" t="str">
        <f t="shared" si="4"/>
        <v>TCCC.3.4.1</v>
      </c>
    </row>
    <row r="282" spans="1:4">
      <c r="A282" t="s">
        <v>1482</v>
      </c>
      <c r="B282" t="s">
        <v>1483</v>
      </c>
      <c r="C282" t="s">
        <v>1129</v>
      </c>
      <c r="D282" t="str">
        <f t="shared" si="4"/>
        <v>TCCC.3.4.2</v>
      </c>
    </row>
    <row r="283" spans="1:4">
      <c r="A283" t="s">
        <v>1484</v>
      </c>
      <c r="B283" t="s">
        <v>577</v>
      </c>
      <c r="C283" t="s">
        <v>1186</v>
      </c>
      <c r="D283" t="str">
        <f t="shared" si="4"/>
        <v>TCCC.3.8.1</v>
      </c>
    </row>
    <row r="284" spans="1:4">
      <c r="A284" t="s">
        <v>1485</v>
      </c>
      <c r="B284" t="s">
        <v>1486</v>
      </c>
      <c r="C284" t="e">
        <f>#N/A</f>
        <v>#N/A</v>
      </c>
      <c r="D284" t="e">
        <f t="shared" si="4"/>
        <v>#N/A</v>
      </c>
    </row>
    <row r="285" spans="1:4">
      <c r="A285" t="s">
        <v>1487</v>
      </c>
      <c r="B285" t="s">
        <v>1488</v>
      </c>
      <c r="C285" t="e">
        <f>#N/A</f>
        <v>#N/A</v>
      </c>
      <c r="D285" t="e">
        <f t="shared" si="4"/>
        <v>#N/A</v>
      </c>
    </row>
    <row r="286" spans="1:4">
      <c r="A286" t="s">
        <v>1489</v>
      </c>
      <c r="B286" t="s">
        <v>1490</v>
      </c>
      <c r="C286" t="s">
        <v>1264</v>
      </c>
      <c r="D286" t="str">
        <f t="shared" si="4"/>
        <v>TCCC.2.2.Al</v>
      </c>
    </row>
    <row r="287" spans="1:4">
      <c r="A287" t="s">
        <v>1491</v>
      </c>
      <c r="B287" t="s">
        <v>1492</v>
      </c>
      <c r="C287" t="e">
        <f>#N/A</f>
        <v>#N/A</v>
      </c>
      <c r="D287" t="e">
        <f t="shared" si="4"/>
        <v>#N/A</v>
      </c>
    </row>
    <row r="288" spans="1:4">
      <c r="A288" t="s">
        <v>1493</v>
      </c>
      <c r="B288" t="s">
        <v>1494</v>
      </c>
      <c r="C288" t="s">
        <v>935</v>
      </c>
      <c r="D288" t="str">
        <f t="shared" si="4"/>
        <v>TCCC.2.2.nec</v>
      </c>
    </row>
    <row r="289" spans="1:4">
      <c r="A289" t="s">
        <v>1495</v>
      </c>
      <c r="B289" t="s">
        <v>1496</v>
      </c>
      <c r="C289" t="e">
        <f>#N/A</f>
        <v>#N/A</v>
      </c>
      <c r="D289" t="e">
        <f t="shared" si="4"/>
        <v>#N/A</v>
      </c>
    </row>
    <row r="290" spans="1:4">
      <c r="A290" t="s">
        <v>1497</v>
      </c>
      <c r="B290" t="s">
        <v>1498</v>
      </c>
      <c r="C290" t="s">
        <v>935</v>
      </c>
      <c r="D290" t="str">
        <f t="shared" si="4"/>
        <v>TCCC.2.2.nec</v>
      </c>
    </row>
    <row r="291" spans="1:4">
      <c r="A291" t="s">
        <v>1499</v>
      </c>
      <c r="B291" t="s">
        <v>1500</v>
      </c>
      <c r="C291" t="e">
        <f>#N/A</f>
        <v>#N/A</v>
      </c>
      <c r="D291" t="e">
        <f t="shared" si="4"/>
        <v>#N/A</v>
      </c>
    </row>
    <row r="292" spans="1:4">
      <c r="A292" t="s">
        <v>1501</v>
      </c>
      <c r="B292" t="s">
        <v>1502</v>
      </c>
      <c r="C292" t="s">
        <v>942</v>
      </c>
      <c r="D292" t="str">
        <f t="shared" si="4"/>
        <v>TCCC.2.2.Cr</v>
      </c>
    </row>
    <row r="293" spans="1:4">
      <c r="A293" t="s">
        <v>1503</v>
      </c>
      <c r="B293" t="s">
        <v>1504</v>
      </c>
      <c r="C293" t="e">
        <f>#N/A</f>
        <v>#N/A</v>
      </c>
      <c r="D293" t="e">
        <f t="shared" si="4"/>
        <v>#N/A</v>
      </c>
    </row>
    <row r="294" spans="1:4">
      <c r="A294" t="s">
        <v>1505</v>
      </c>
      <c r="B294" t="s">
        <v>1506</v>
      </c>
      <c r="C294" t="s">
        <v>1116</v>
      </c>
      <c r="D294" t="str">
        <f t="shared" si="4"/>
        <v>TCCC.3.4.3</v>
      </c>
    </row>
    <row r="295" spans="1:4">
      <c r="A295" t="s">
        <v>1507</v>
      </c>
      <c r="B295" t="s">
        <v>1508</v>
      </c>
      <c r="C295" t="s">
        <v>1116</v>
      </c>
      <c r="D295" t="str">
        <f t="shared" si="4"/>
        <v>TCCC.3.4.3</v>
      </c>
    </row>
    <row r="296" spans="1:4">
      <c r="A296" t="s">
        <v>1509</v>
      </c>
      <c r="B296" t="s">
        <v>1510</v>
      </c>
      <c r="C296" t="s">
        <v>950</v>
      </c>
      <c r="D296" t="str">
        <f t="shared" si="4"/>
        <v>TCCC.2.1.Fe</v>
      </c>
    </row>
    <row r="297" spans="1:4">
      <c r="A297" t="s">
        <v>1511</v>
      </c>
      <c r="B297" t="s">
        <v>1512</v>
      </c>
      <c r="C297" t="s">
        <v>1129</v>
      </c>
      <c r="D297" t="str">
        <f t="shared" si="4"/>
        <v>TCCC.3.4.2</v>
      </c>
    </row>
    <row r="298" spans="1:4">
      <c r="A298" t="s">
        <v>1513</v>
      </c>
      <c r="B298" t="s">
        <v>1514</v>
      </c>
      <c r="C298" t="s">
        <v>1016</v>
      </c>
      <c r="D298" t="str">
        <f t="shared" si="4"/>
        <v>TCCC.2.2.Ti</v>
      </c>
    </row>
    <row r="299" spans="1:4">
      <c r="A299" t="s">
        <v>1515</v>
      </c>
      <c r="B299" t="s">
        <v>1516</v>
      </c>
      <c r="C299" t="s">
        <v>1116</v>
      </c>
      <c r="D299" t="str">
        <f t="shared" si="4"/>
        <v>TCCC.3.4.3</v>
      </c>
    </row>
    <row r="300" spans="1:4">
      <c r="A300" t="s">
        <v>1517</v>
      </c>
      <c r="B300" t="s">
        <v>1518</v>
      </c>
      <c r="C300" t="s">
        <v>1481</v>
      </c>
      <c r="D300" t="str">
        <f t="shared" si="4"/>
        <v>TCCC.3.4.1</v>
      </c>
    </row>
    <row r="301" spans="1:4">
      <c r="A301" t="s">
        <v>1519</v>
      </c>
      <c r="B301" t="s">
        <v>1520</v>
      </c>
      <c r="C301" t="s">
        <v>1016</v>
      </c>
      <c r="D301" t="str">
        <f t="shared" si="4"/>
        <v>TCCC.2.2.Ti</v>
      </c>
    </row>
    <row r="302" spans="1:4">
      <c r="A302" t="s">
        <v>1521</v>
      </c>
      <c r="B302" t="s">
        <v>1522</v>
      </c>
      <c r="C302" t="s">
        <v>935</v>
      </c>
      <c r="D302" t="str">
        <f t="shared" si="4"/>
        <v>TCCC.2.2.nec</v>
      </c>
    </row>
    <row r="303" spans="1:4">
      <c r="A303" t="s">
        <v>1523</v>
      </c>
      <c r="B303" t="s">
        <v>1202</v>
      </c>
      <c r="C303" t="s">
        <v>1116</v>
      </c>
      <c r="D303" t="str">
        <f t="shared" si="4"/>
        <v>TCCC.3.4.3</v>
      </c>
    </row>
    <row r="304" spans="1:4">
      <c r="A304" t="s">
        <v>1524</v>
      </c>
      <c r="B304" t="s">
        <v>1525</v>
      </c>
      <c r="C304" t="s">
        <v>970</v>
      </c>
      <c r="D304" t="str">
        <f t="shared" si="4"/>
        <v>TCCC.2.2.Mn</v>
      </c>
    </row>
    <row r="305" spans="1:4">
      <c r="A305" t="s">
        <v>1526</v>
      </c>
      <c r="B305" t="s">
        <v>1527</v>
      </c>
      <c r="C305" t="e">
        <f>#N/A</f>
        <v>#N/A</v>
      </c>
      <c r="D305" t="e">
        <f t="shared" si="4"/>
        <v>#N/A</v>
      </c>
    </row>
    <row r="306" spans="1:4">
      <c r="A306" t="s">
        <v>1528</v>
      </c>
      <c r="B306" t="s">
        <v>1529</v>
      </c>
      <c r="C306" t="s">
        <v>935</v>
      </c>
      <c r="D306" t="str">
        <f t="shared" si="4"/>
        <v>TCCC.2.2.nec</v>
      </c>
    </row>
    <row r="307" spans="1:4">
      <c r="A307" t="s">
        <v>1530</v>
      </c>
      <c r="B307" t="s">
        <v>1531</v>
      </c>
      <c r="C307" t="s">
        <v>935</v>
      </c>
      <c r="D307" t="str">
        <f t="shared" si="4"/>
        <v>TCCC.2.2.nec</v>
      </c>
    </row>
    <row r="308" spans="1:4">
      <c r="A308" t="s">
        <v>1532</v>
      </c>
      <c r="B308" t="s">
        <v>1533</v>
      </c>
      <c r="C308" t="s">
        <v>1116</v>
      </c>
      <c r="D308" t="str">
        <f t="shared" si="4"/>
        <v>TCCC.3.4.3</v>
      </c>
    </row>
    <row r="309" spans="1:4">
      <c r="A309" t="s">
        <v>1534</v>
      </c>
      <c r="B309" t="s">
        <v>1535</v>
      </c>
      <c r="C309" t="e">
        <f>#N/A</f>
        <v>#N/A</v>
      </c>
      <c r="D309" t="e">
        <f t="shared" si="4"/>
        <v>#N/A</v>
      </c>
    </row>
    <row r="310" spans="1:4">
      <c r="A310" t="s">
        <v>1536</v>
      </c>
      <c r="B310" t="s">
        <v>1537</v>
      </c>
      <c r="C310" t="e">
        <f>#N/A</f>
        <v>#N/A</v>
      </c>
      <c r="D310" t="e">
        <f t="shared" si="4"/>
        <v>#N/A</v>
      </c>
    </row>
    <row r="311" spans="1:4">
      <c r="A311" t="s">
        <v>1538</v>
      </c>
      <c r="B311" t="s">
        <v>1539</v>
      </c>
      <c r="C311" t="s">
        <v>1481</v>
      </c>
      <c r="D311" t="str">
        <f t="shared" si="4"/>
        <v>TCCC.3.4.1</v>
      </c>
    </row>
    <row r="312" spans="1:4">
      <c r="A312" t="s">
        <v>1540</v>
      </c>
      <c r="B312" t="s">
        <v>1541</v>
      </c>
      <c r="C312" t="e">
        <f>#N/A</f>
        <v>#N/A</v>
      </c>
      <c r="D312" t="e">
        <f t="shared" si="4"/>
        <v>#N/A</v>
      </c>
    </row>
    <row r="313" spans="1:4">
      <c r="A313" t="s">
        <v>1542</v>
      </c>
      <c r="B313" t="s">
        <v>1543</v>
      </c>
      <c r="C313" t="e">
        <f>#N/A</f>
        <v>#N/A</v>
      </c>
      <c r="D313" t="e">
        <f t="shared" si="4"/>
        <v>#N/A</v>
      </c>
    </row>
    <row r="314" spans="1:4">
      <c r="A314" t="s">
        <v>1544</v>
      </c>
      <c r="B314" t="s">
        <v>1545</v>
      </c>
      <c r="C314" t="e">
        <f>#N/A</f>
        <v>#N/A</v>
      </c>
      <c r="D314" t="e">
        <f t="shared" si="4"/>
        <v>#N/A</v>
      </c>
    </row>
    <row r="315" spans="1:4">
      <c r="A315" t="s">
        <v>1546</v>
      </c>
      <c r="B315" t="s">
        <v>1547</v>
      </c>
      <c r="C315" t="s">
        <v>1129</v>
      </c>
      <c r="D315" t="str">
        <f t="shared" si="4"/>
        <v>TCCC.3.4.2</v>
      </c>
    </row>
    <row r="316" spans="1:4">
      <c r="A316" t="s">
        <v>1548</v>
      </c>
      <c r="B316" t="s">
        <v>1549</v>
      </c>
      <c r="C316" t="e">
        <f>#N/A</f>
        <v>#N/A</v>
      </c>
      <c r="D316" t="e">
        <f t="shared" si="4"/>
        <v>#N/A</v>
      </c>
    </row>
    <row r="317" spans="1:4">
      <c r="A317" t="s">
        <v>1550</v>
      </c>
      <c r="B317" t="s">
        <v>1551</v>
      </c>
      <c r="C317" t="s">
        <v>935</v>
      </c>
      <c r="D317" t="str">
        <f t="shared" si="4"/>
        <v>TCCC.2.2.nec</v>
      </c>
    </row>
    <row r="318" spans="1:4">
      <c r="A318" t="s">
        <v>1552</v>
      </c>
      <c r="B318" t="s">
        <v>1553</v>
      </c>
      <c r="C318" t="e">
        <f>#N/A</f>
        <v>#N/A</v>
      </c>
      <c r="D318" t="e">
        <f t="shared" si="4"/>
        <v>#N/A</v>
      </c>
    </row>
    <row r="319" spans="1:4">
      <c r="A319" t="s">
        <v>1554</v>
      </c>
      <c r="B319" t="s">
        <v>1555</v>
      </c>
      <c r="C319" t="s">
        <v>935</v>
      </c>
      <c r="D319" t="str">
        <f t="shared" si="4"/>
        <v>TCCC.2.2.nec</v>
      </c>
    </row>
    <row r="320" spans="1:4">
      <c r="A320" t="s">
        <v>1556</v>
      </c>
      <c r="B320" t="s">
        <v>1557</v>
      </c>
      <c r="C320" t="s">
        <v>1016</v>
      </c>
      <c r="D320" t="str">
        <f t="shared" si="4"/>
        <v>TCCC.2.2.Ti</v>
      </c>
    </row>
    <row r="321" spans="1:4">
      <c r="A321" t="s">
        <v>1558</v>
      </c>
      <c r="B321" t="s">
        <v>1559</v>
      </c>
      <c r="C321" t="s">
        <v>1016</v>
      </c>
      <c r="D321" t="str">
        <f t="shared" si="4"/>
        <v>TCCC.2.2.Ti</v>
      </c>
    </row>
    <row r="322" spans="1:4">
      <c r="A322" t="s">
        <v>1560</v>
      </c>
      <c r="B322" t="s">
        <v>1561</v>
      </c>
      <c r="C322" t="e">
        <f>#N/A</f>
        <v>#N/A</v>
      </c>
      <c r="D322" t="e">
        <f t="shared" ref="D322:D330" si="5">CONCATENATE("TCCC",RIGHT(C322,LEN(C322)-1))</f>
        <v>#N/A</v>
      </c>
    </row>
    <row r="323" spans="1:4">
      <c r="A323" t="s">
        <v>1562</v>
      </c>
      <c r="B323" t="s">
        <v>1563</v>
      </c>
      <c r="C323" t="e">
        <f>#N/A</f>
        <v>#N/A</v>
      </c>
      <c r="D323" t="e">
        <f t="shared" si="5"/>
        <v>#N/A</v>
      </c>
    </row>
    <row r="324" spans="1:4">
      <c r="A324" t="s">
        <v>1564</v>
      </c>
      <c r="B324" t="s">
        <v>1565</v>
      </c>
      <c r="C324" t="e">
        <f>#N/A</f>
        <v>#N/A</v>
      </c>
      <c r="D324" t="e">
        <f t="shared" si="5"/>
        <v>#N/A</v>
      </c>
    </row>
    <row r="325" spans="1:4">
      <c r="A325" t="s">
        <v>1566</v>
      </c>
      <c r="B325" t="s">
        <v>1567</v>
      </c>
      <c r="C325" t="s">
        <v>935</v>
      </c>
      <c r="D325" t="str">
        <f t="shared" si="5"/>
        <v>TCCC.2.2.nec</v>
      </c>
    </row>
    <row r="326" spans="1:4">
      <c r="A326" t="s">
        <v>1568</v>
      </c>
      <c r="B326" t="s">
        <v>1569</v>
      </c>
      <c r="C326" t="e">
        <f>#N/A</f>
        <v>#N/A</v>
      </c>
      <c r="D326" t="e">
        <f t="shared" si="5"/>
        <v>#N/A</v>
      </c>
    </row>
    <row r="327" spans="1:4">
      <c r="A327" t="s">
        <v>1570</v>
      </c>
      <c r="B327" t="s">
        <v>1571</v>
      </c>
      <c r="C327" t="e">
        <f>#N/A</f>
        <v>#N/A</v>
      </c>
      <c r="D327" t="e">
        <f t="shared" si="5"/>
        <v>#N/A</v>
      </c>
    </row>
    <row r="328" spans="1:4">
      <c r="A328" t="s">
        <v>1572</v>
      </c>
      <c r="B328" t="s">
        <v>1573</v>
      </c>
      <c r="C328" t="e">
        <f>#N/A</f>
        <v>#N/A</v>
      </c>
      <c r="D328" t="e">
        <f t="shared" si="5"/>
        <v>#N/A</v>
      </c>
    </row>
    <row r="329" spans="1:4">
      <c r="A329" t="s">
        <v>1574</v>
      </c>
      <c r="B329" t="s">
        <v>1575</v>
      </c>
      <c r="C329" t="e">
        <f>#N/A</f>
        <v>#N/A</v>
      </c>
      <c r="D329" t="e">
        <f t="shared" si="5"/>
        <v>#N/A</v>
      </c>
    </row>
    <row r="330" spans="1:4">
      <c r="A330" t="s">
        <v>1576</v>
      </c>
      <c r="B330" t="s">
        <v>1577</v>
      </c>
      <c r="C330" t="e">
        <f>#N/A</f>
        <v>#N/A</v>
      </c>
      <c r="D330" t="e">
        <f t="shared" si="5"/>
        <v>#N/A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2"/>
  <sheetViews>
    <sheetView zoomScaleNormal="100" workbookViewId="0">
      <selection activeCell="C14" sqref="C14"/>
    </sheetView>
  </sheetViews>
  <sheetFormatPr defaultColWidth="10.6640625" defaultRowHeight="13.8"/>
  <cols>
    <col min="2" max="2" width="23.77734375" customWidth="1"/>
    <col min="5" max="5" width="14.109375" customWidth="1"/>
  </cols>
  <sheetData>
    <row r="1" spans="1:10">
      <c r="A1" s="4" t="s">
        <v>1578</v>
      </c>
      <c r="B1" s="4" t="s">
        <v>1579</v>
      </c>
      <c r="C1" s="4" t="s">
        <v>1580</v>
      </c>
      <c r="D1" s="4" t="s">
        <v>1581</v>
      </c>
      <c r="E1" s="4" t="s">
        <v>1582</v>
      </c>
      <c r="F1" s="4" t="s">
        <v>906</v>
      </c>
    </row>
    <row r="2" spans="1:10">
      <c r="A2" t="s">
        <v>1312</v>
      </c>
      <c r="B2" t="s">
        <v>1313</v>
      </c>
      <c r="C2" t="s">
        <v>1509</v>
      </c>
      <c r="D2" t="s">
        <v>948</v>
      </c>
      <c r="E2" t="s">
        <v>1583</v>
      </c>
      <c r="F2" t="s">
        <v>1584</v>
      </c>
      <c r="J2" t="s">
        <v>950</v>
      </c>
    </row>
    <row r="3" spans="1:10">
      <c r="A3" t="s">
        <v>1262</v>
      </c>
      <c r="B3" t="s">
        <v>292</v>
      </c>
      <c r="C3" t="s">
        <v>1487</v>
      </c>
      <c r="D3" t="s">
        <v>921</v>
      </c>
      <c r="E3" t="s">
        <v>1585</v>
      </c>
      <c r="F3" t="s">
        <v>1586</v>
      </c>
      <c r="J3" t="s">
        <v>923</v>
      </c>
    </row>
    <row r="4" spans="1:10">
      <c r="A4" t="s">
        <v>1275</v>
      </c>
      <c r="B4" t="s">
        <v>295</v>
      </c>
      <c r="C4" t="s">
        <v>1491</v>
      </c>
      <c r="D4" t="s">
        <v>928</v>
      </c>
      <c r="E4" t="s">
        <v>1587</v>
      </c>
      <c r="F4" t="s">
        <v>1588</v>
      </c>
      <c r="J4" t="s">
        <v>1264</v>
      </c>
    </row>
    <row r="5" spans="1:10">
      <c r="A5" t="s">
        <v>1292</v>
      </c>
      <c r="B5" t="s">
        <v>330</v>
      </c>
      <c r="C5" t="s">
        <v>1501</v>
      </c>
      <c r="D5" t="s">
        <v>940</v>
      </c>
      <c r="E5" t="s">
        <v>1589</v>
      </c>
      <c r="F5" t="s">
        <v>1590</v>
      </c>
      <c r="J5" t="s">
        <v>930</v>
      </c>
    </row>
    <row r="6" spans="1:10">
      <c r="A6" t="s">
        <v>1297</v>
      </c>
      <c r="B6" t="s">
        <v>313</v>
      </c>
      <c r="C6" t="s">
        <v>1503</v>
      </c>
      <c r="D6" t="s">
        <v>945</v>
      </c>
      <c r="E6" t="s">
        <v>1591</v>
      </c>
      <c r="F6" t="s">
        <v>1592</v>
      </c>
      <c r="J6" t="s">
        <v>942</v>
      </c>
    </row>
    <row r="7" spans="1:10">
      <c r="A7" t="s">
        <v>1326</v>
      </c>
      <c r="B7" t="s">
        <v>1327</v>
      </c>
      <c r="C7" t="s">
        <v>1593</v>
      </c>
      <c r="D7" t="s">
        <v>957</v>
      </c>
      <c r="E7" t="s">
        <v>1594</v>
      </c>
      <c r="F7" t="s">
        <v>1595</v>
      </c>
      <c r="J7" t="s">
        <v>947</v>
      </c>
    </row>
    <row r="8" spans="1:10">
      <c r="A8" t="s">
        <v>1334</v>
      </c>
      <c r="B8" t="s">
        <v>1335</v>
      </c>
      <c r="C8" t="s">
        <v>1596</v>
      </c>
      <c r="D8" t="s">
        <v>961</v>
      </c>
      <c r="E8" t="s">
        <v>1594</v>
      </c>
      <c r="F8" t="s">
        <v>1597</v>
      </c>
      <c r="J8" t="s">
        <v>970</v>
      </c>
    </row>
    <row r="9" spans="1:10">
      <c r="A9" t="s">
        <v>1336</v>
      </c>
      <c r="B9" t="s">
        <v>1337</v>
      </c>
      <c r="C9" t="s">
        <v>1598</v>
      </c>
      <c r="D9" t="s">
        <v>1599</v>
      </c>
      <c r="E9" t="s">
        <v>1594</v>
      </c>
      <c r="F9" t="s">
        <v>1600</v>
      </c>
      <c r="J9" t="s">
        <v>935</v>
      </c>
    </row>
    <row r="10" spans="1:10">
      <c r="A10" t="s">
        <v>1350</v>
      </c>
      <c r="B10" t="s">
        <v>1351</v>
      </c>
      <c r="C10" t="s">
        <v>1601</v>
      </c>
      <c r="D10" t="s">
        <v>1602</v>
      </c>
      <c r="E10" t="s">
        <v>1594</v>
      </c>
      <c r="F10" t="s">
        <v>1603</v>
      </c>
      <c r="J10" t="s">
        <v>977</v>
      </c>
    </row>
    <row r="11" spans="1:10">
      <c r="A11" t="s">
        <v>1363</v>
      </c>
      <c r="B11" t="s">
        <v>328</v>
      </c>
      <c r="C11" t="s">
        <v>1524</v>
      </c>
      <c r="D11" t="s">
        <v>968</v>
      </c>
      <c r="E11" t="s">
        <v>1604</v>
      </c>
      <c r="F11" t="s">
        <v>1605</v>
      </c>
      <c r="J11" t="s">
        <v>982</v>
      </c>
    </row>
    <row r="12" spans="1:10">
      <c r="A12" t="s">
        <v>1364</v>
      </c>
      <c r="B12" t="s">
        <v>1365</v>
      </c>
      <c r="C12" t="s">
        <v>1526</v>
      </c>
      <c r="D12" t="s">
        <v>971</v>
      </c>
      <c r="E12" t="s">
        <v>1594</v>
      </c>
      <c r="F12" t="s">
        <v>1606</v>
      </c>
      <c r="J12" t="s">
        <v>963</v>
      </c>
    </row>
    <row r="13" spans="1:10">
      <c r="A13" t="s">
        <v>1368</v>
      </c>
      <c r="B13" t="s">
        <v>1369</v>
      </c>
      <c r="C13" t="s">
        <v>1528</v>
      </c>
      <c r="D13" t="s">
        <v>973</v>
      </c>
      <c r="E13" t="s">
        <v>1594</v>
      </c>
      <c r="F13" t="s">
        <v>1607</v>
      </c>
      <c r="J13" t="s">
        <v>1005</v>
      </c>
    </row>
    <row r="14" spans="1:10">
      <c r="A14" t="s">
        <v>1278</v>
      </c>
      <c r="B14" t="s">
        <v>1279</v>
      </c>
      <c r="C14" t="s">
        <v>1608</v>
      </c>
      <c r="D14" t="s">
        <v>933</v>
      </c>
      <c r="E14" t="s">
        <v>1594</v>
      </c>
      <c r="F14" t="s">
        <v>1609</v>
      </c>
      <c r="J14" t="s">
        <v>1016</v>
      </c>
    </row>
    <row r="15" spans="1:10">
      <c r="A15" t="s">
        <v>1290</v>
      </c>
      <c r="B15" t="s">
        <v>1291</v>
      </c>
      <c r="C15" t="s">
        <v>1499</v>
      </c>
      <c r="D15" t="s">
        <v>938</v>
      </c>
      <c r="E15" t="s">
        <v>1594</v>
      </c>
      <c r="F15" t="s">
        <v>1610</v>
      </c>
      <c r="J15" t="s">
        <v>1021</v>
      </c>
    </row>
    <row r="16" spans="1:10">
      <c r="A16" t="s">
        <v>1376</v>
      </c>
      <c r="B16" t="s">
        <v>316</v>
      </c>
      <c r="C16" t="s">
        <v>1534</v>
      </c>
      <c r="D16" t="s">
        <v>975</v>
      </c>
      <c r="E16" t="s">
        <v>1611</v>
      </c>
      <c r="F16" t="s">
        <v>1612</v>
      </c>
      <c r="J16" t="s">
        <v>1028</v>
      </c>
    </row>
    <row r="17" spans="1:6">
      <c r="A17" t="s">
        <v>1377</v>
      </c>
      <c r="B17" t="s">
        <v>1378</v>
      </c>
      <c r="C17" t="s">
        <v>1613</v>
      </c>
      <c r="D17" t="s">
        <v>978</v>
      </c>
      <c r="E17" t="s">
        <v>1594</v>
      </c>
      <c r="F17" t="s">
        <v>1614</v>
      </c>
    </row>
    <row r="18" spans="1:6">
      <c r="A18" t="s">
        <v>1379</v>
      </c>
      <c r="B18" t="s">
        <v>304</v>
      </c>
      <c r="C18" t="s">
        <v>1540</v>
      </c>
      <c r="D18" t="s">
        <v>980</v>
      </c>
      <c r="E18" t="s">
        <v>1615</v>
      </c>
      <c r="F18" t="s">
        <v>1616</v>
      </c>
    </row>
    <row r="19" spans="1:6">
      <c r="A19" t="s">
        <v>1382</v>
      </c>
      <c r="B19" t="s">
        <v>1383</v>
      </c>
      <c r="C19" t="s">
        <v>1617</v>
      </c>
      <c r="D19" t="s">
        <v>983</v>
      </c>
      <c r="E19" t="s">
        <v>1618</v>
      </c>
      <c r="F19" t="s">
        <v>1619</v>
      </c>
    </row>
    <row r="20" spans="1:6">
      <c r="A20" t="s">
        <v>1394</v>
      </c>
      <c r="B20" t="s">
        <v>298</v>
      </c>
      <c r="C20" t="s">
        <v>1620</v>
      </c>
      <c r="D20" t="s">
        <v>987</v>
      </c>
      <c r="E20" t="s">
        <v>1618</v>
      </c>
      <c r="F20" t="s">
        <v>1621</v>
      </c>
    </row>
    <row r="21" spans="1:6">
      <c r="A21" t="s">
        <v>1399</v>
      </c>
      <c r="B21" t="s">
        <v>1400</v>
      </c>
      <c r="C21" t="s">
        <v>1622</v>
      </c>
      <c r="D21" t="s">
        <v>1623</v>
      </c>
      <c r="E21" t="s">
        <v>1594</v>
      </c>
      <c r="F21" t="s">
        <v>1624</v>
      </c>
    </row>
    <row r="22" spans="1:6">
      <c r="A22" t="s">
        <v>1401</v>
      </c>
      <c r="B22" t="s">
        <v>1402</v>
      </c>
      <c r="C22" t="s">
        <v>1625</v>
      </c>
      <c r="D22" t="s">
        <v>995</v>
      </c>
      <c r="E22" t="s">
        <v>1626</v>
      </c>
      <c r="F22" t="s">
        <v>1627</v>
      </c>
    </row>
    <row r="23" spans="1:6">
      <c r="A23" t="s">
        <v>1403</v>
      </c>
      <c r="B23" t="s">
        <v>1404</v>
      </c>
      <c r="C23" t="s">
        <v>1628</v>
      </c>
      <c r="D23" t="s">
        <v>997</v>
      </c>
      <c r="E23" t="s">
        <v>1629</v>
      </c>
      <c r="F23" t="s">
        <v>1630</v>
      </c>
    </row>
    <row r="24" spans="1:6">
      <c r="A24" t="s">
        <v>1405</v>
      </c>
      <c r="B24" t="s">
        <v>1406</v>
      </c>
      <c r="C24" t="s">
        <v>1631</v>
      </c>
      <c r="D24" t="s">
        <v>999</v>
      </c>
      <c r="E24" t="s">
        <v>1632</v>
      </c>
      <c r="F24" t="s">
        <v>1633</v>
      </c>
    </row>
    <row r="25" spans="1:6">
      <c r="A25" t="s">
        <v>1419</v>
      </c>
      <c r="B25" t="s">
        <v>310</v>
      </c>
      <c r="C25" t="s">
        <v>1548</v>
      </c>
      <c r="D25" t="s">
        <v>1003</v>
      </c>
      <c r="E25" t="s">
        <v>1634</v>
      </c>
      <c r="F25" t="s">
        <v>1635</v>
      </c>
    </row>
    <row r="26" spans="1:6">
      <c r="A26" t="s">
        <v>1422</v>
      </c>
      <c r="B26" t="s">
        <v>322</v>
      </c>
      <c r="C26" t="s">
        <v>1554</v>
      </c>
      <c r="D26" t="s">
        <v>1008</v>
      </c>
      <c r="E26" t="s">
        <v>1636</v>
      </c>
      <c r="F26" t="s">
        <v>1637</v>
      </c>
    </row>
    <row r="27" spans="1:6">
      <c r="A27" t="s">
        <v>1429</v>
      </c>
      <c r="B27" t="s">
        <v>1430</v>
      </c>
      <c r="C27" t="s">
        <v>1638</v>
      </c>
      <c r="D27" t="s">
        <v>1010</v>
      </c>
      <c r="E27" t="s">
        <v>1639</v>
      </c>
      <c r="F27" t="s">
        <v>1640</v>
      </c>
    </row>
    <row r="28" spans="1:6">
      <c r="A28" t="s">
        <v>1433</v>
      </c>
      <c r="B28" t="s">
        <v>1434</v>
      </c>
      <c r="C28" t="s">
        <v>1556</v>
      </c>
      <c r="D28" t="s">
        <v>1014</v>
      </c>
      <c r="E28" t="s">
        <v>1641</v>
      </c>
      <c r="F28" t="s">
        <v>1642</v>
      </c>
    </row>
    <row r="29" spans="1:6">
      <c r="A29" t="s">
        <v>1443</v>
      </c>
      <c r="B29" t="s">
        <v>1444</v>
      </c>
      <c r="C29" t="s">
        <v>1560</v>
      </c>
      <c r="D29" t="s">
        <v>1019</v>
      </c>
      <c r="E29" t="s">
        <v>1643</v>
      </c>
      <c r="F29" t="s">
        <v>1644</v>
      </c>
    </row>
    <row r="30" spans="1:6">
      <c r="A30" t="s">
        <v>1447</v>
      </c>
      <c r="B30" t="s">
        <v>1448</v>
      </c>
      <c r="C30" t="s">
        <v>1645</v>
      </c>
      <c r="D30" t="s">
        <v>1022</v>
      </c>
      <c r="E30" t="s">
        <v>1646</v>
      </c>
      <c r="F30" t="s">
        <v>1647</v>
      </c>
    </row>
    <row r="31" spans="1:6">
      <c r="A31" t="s">
        <v>1451</v>
      </c>
      <c r="B31" t="s">
        <v>319</v>
      </c>
      <c r="C31" t="s">
        <v>1562</v>
      </c>
      <c r="D31" t="s">
        <v>1024</v>
      </c>
      <c r="E31" t="s">
        <v>1648</v>
      </c>
      <c r="F31" t="s">
        <v>1649</v>
      </c>
    </row>
    <row r="32" spans="1:6">
      <c r="A32" t="s">
        <v>1462</v>
      </c>
      <c r="B32" t="s">
        <v>307</v>
      </c>
      <c r="C32" t="s">
        <v>1564</v>
      </c>
      <c r="D32" t="s">
        <v>1026</v>
      </c>
      <c r="E32" t="s">
        <v>1650</v>
      </c>
      <c r="F32" t="s">
        <v>1651</v>
      </c>
    </row>
    <row r="34" spans="1:2">
      <c r="A34" t="s">
        <v>950</v>
      </c>
      <c r="B34" t="s">
        <v>1509</v>
      </c>
    </row>
    <row r="35" spans="1:2">
      <c r="A35" t="s">
        <v>950</v>
      </c>
      <c r="B35" t="s">
        <v>948</v>
      </c>
    </row>
    <row r="36" spans="1:2">
      <c r="A36" t="s">
        <v>923</v>
      </c>
      <c r="B36" t="s">
        <v>921</v>
      </c>
    </row>
    <row r="37" spans="1:2">
      <c r="A37" t="s">
        <v>1264</v>
      </c>
      <c r="B37" t="s">
        <v>1489</v>
      </c>
    </row>
    <row r="38" spans="1:2">
      <c r="A38" t="s">
        <v>930</v>
      </c>
      <c r="B38" t="s">
        <v>928</v>
      </c>
    </row>
    <row r="39" spans="1:2">
      <c r="A39" t="s">
        <v>942</v>
      </c>
      <c r="B39" t="s">
        <v>940</v>
      </c>
    </row>
    <row r="40" spans="1:2">
      <c r="A40" t="s">
        <v>942</v>
      </c>
      <c r="B40" t="s">
        <v>1501</v>
      </c>
    </row>
    <row r="41" spans="1:2">
      <c r="A41" t="s">
        <v>947</v>
      </c>
      <c r="B41" t="s">
        <v>945</v>
      </c>
    </row>
    <row r="42" spans="1:2">
      <c r="A42" t="s">
        <v>970</v>
      </c>
      <c r="B42" t="s">
        <v>1524</v>
      </c>
    </row>
    <row r="43" spans="1:2">
      <c r="A43" t="s">
        <v>970</v>
      </c>
      <c r="B43" t="s">
        <v>968</v>
      </c>
    </row>
    <row r="44" spans="1:2">
      <c r="A44" t="s">
        <v>935</v>
      </c>
      <c r="B44" t="s">
        <v>933</v>
      </c>
    </row>
    <row r="45" spans="1:2">
      <c r="A45" t="s">
        <v>935</v>
      </c>
      <c r="B45" t="s">
        <v>938</v>
      </c>
    </row>
    <row r="46" spans="1:2">
      <c r="A46" t="s">
        <v>935</v>
      </c>
      <c r="B46" t="s">
        <v>957</v>
      </c>
    </row>
    <row r="47" spans="1:2">
      <c r="A47" t="s">
        <v>935</v>
      </c>
      <c r="B47" t="s">
        <v>971</v>
      </c>
    </row>
    <row r="48" spans="1:2">
      <c r="A48" t="s">
        <v>935</v>
      </c>
      <c r="B48" t="s">
        <v>973</v>
      </c>
    </row>
    <row r="49" spans="1:2">
      <c r="A49" t="s">
        <v>935</v>
      </c>
      <c r="B49" t="s">
        <v>993</v>
      </c>
    </row>
    <row r="50" spans="1:2">
      <c r="A50" t="s">
        <v>935</v>
      </c>
      <c r="B50" t="s">
        <v>999</v>
      </c>
    </row>
    <row r="51" spans="1:2">
      <c r="A51" t="s">
        <v>935</v>
      </c>
      <c r="B51" t="s">
        <v>1008</v>
      </c>
    </row>
    <row r="52" spans="1:2">
      <c r="A52" t="s">
        <v>935</v>
      </c>
      <c r="B52" t="s">
        <v>1022</v>
      </c>
    </row>
    <row r="53" spans="1:2">
      <c r="A53" t="s">
        <v>935</v>
      </c>
      <c r="B53" t="s">
        <v>1024</v>
      </c>
    </row>
    <row r="54" spans="1:2">
      <c r="A54" t="s">
        <v>935</v>
      </c>
      <c r="B54" t="s">
        <v>1284</v>
      </c>
    </row>
    <row r="55" spans="1:2">
      <c r="A55" t="s">
        <v>935</v>
      </c>
      <c r="B55" t="s">
        <v>1314</v>
      </c>
    </row>
    <row r="56" spans="1:2">
      <c r="A56" t="s">
        <v>935</v>
      </c>
      <c r="B56" t="s">
        <v>1521</v>
      </c>
    </row>
    <row r="57" spans="1:2">
      <c r="A57" t="s">
        <v>935</v>
      </c>
      <c r="B57" t="s">
        <v>1566</v>
      </c>
    </row>
    <row r="58" spans="1:2">
      <c r="A58" t="s">
        <v>935</v>
      </c>
      <c r="B58" t="s">
        <v>1320</v>
      </c>
    </row>
    <row r="59" spans="1:2">
      <c r="A59" t="s">
        <v>935</v>
      </c>
      <c r="B59" t="s">
        <v>1269</v>
      </c>
    </row>
    <row r="60" spans="1:2">
      <c r="A60" t="s">
        <v>935</v>
      </c>
      <c r="B60" t="s">
        <v>1332</v>
      </c>
    </row>
    <row r="61" spans="1:2">
      <c r="A61" t="s">
        <v>935</v>
      </c>
      <c r="B61" t="s">
        <v>1411</v>
      </c>
    </row>
    <row r="62" spans="1:2">
      <c r="A62" t="s">
        <v>935</v>
      </c>
      <c r="B62" t="s">
        <v>1010</v>
      </c>
    </row>
    <row r="63" spans="1:2">
      <c r="A63" t="s">
        <v>935</v>
      </c>
      <c r="B63" t="s">
        <v>1350</v>
      </c>
    </row>
    <row r="64" spans="1:2">
      <c r="A64" t="s">
        <v>935</v>
      </c>
      <c r="B64" t="s">
        <v>1493</v>
      </c>
    </row>
    <row r="65" spans="1:2">
      <c r="A65" t="s">
        <v>935</v>
      </c>
      <c r="B65" t="s">
        <v>1360</v>
      </c>
    </row>
    <row r="66" spans="1:2">
      <c r="A66" t="s">
        <v>935</v>
      </c>
      <c r="B66" t="s">
        <v>1397</v>
      </c>
    </row>
    <row r="67" spans="1:2">
      <c r="A67" t="s">
        <v>935</v>
      </c>
      <c r="B67" t="s">
        <v>1550</v>
      </c>
    </row>
    <row r="68" spans="1:2">
      <c r="A68" t="s">
        <v>935</v>
      </c>
      <c r="B68" t="s">
        <v>1530</v>
      </c>
    </row>
    <row r="69" spans="1:2">
      <c r="A69" t="s">
        <v>935</v>
      </c>
      <c r="B69" t="s">
        <v>1528</v>
      </c>
    </row>
    <row r="70" spans="1:2">
      <c r="A70" t="s">
        <v>935</v>
      </c>
      <c r="B70" t="s">
        <v>1352</v>
      </c>
    </row>
    <row r="71" spans="1:2">
      <c r="A71" t="s">
        <v>977</v>
      </c>
      <c r="B71" t="s">
        <v>975</v>
      </c>
    </row>
    <row r="72" spans="1:2">
      <c r="A72" t="s">
        <v>982</v>
      </c>
      <c r="B72" t="s">
        <v>980</v>
      </c>
    </row>
    <row r="73" spans="1:2">
      <c r="A73" t="s">
        <v>963</v>
      </c>
      <c r="B73" t="s">
        <v>983</v>
      </c>
    </row>
    <row r="74" spans="1:2">
      <c r="A74" t="s">
        <v>963</v>
      </c>
      <c r="B74" t="s">
        <v>987</v>
      </c>
    </row>
    <row r="75" spans="1:2">
      <c r="A75" t="s">
        <v>963</v>
      </c>
      <c r="B75" t="s">
        <v>995</v>
      </c>
    </row>
    <row r="76" spans="1:2">
      <c r="A76" t="s">
        <v>963</v>
      </c>
      <c r="B76" t="s">
        <v>1384</v>
      </c>
    </row>
    <row r="77" spans="1:2">
      <c r="A77" t="s">
        <v>963</v>
      </c>
      <c r="B77" t="s">
        <v>961</v>
      </c>
    </row>
    <row r="78" spans="1:2">
      <c r="A78" t="s">
        <v>963</v>
      </c>
      <c r="B78" t="s">
        <v>978</v>
      </c>
    </row>
    <row r="79" spans="1:2">
      <c r="A79" t="s">
        <v>1005</v>
      </c>
      <c r="B79" t="s">
        <v>1003</v>
      </c>
    </row>
    <row r="80" spans="1:2">
      <c r="A80" t="s">
        <v>1016</v>
      </c>
      <c r="B80" t="s">
        <v>1513</v>
      </c>
    </row>
    <row r="81" spans="1:2">
      <c r="A81" t="s">
        <v>1016</v>
      </c>
      <c r="B81" t="s">
        <v>1519</v>
      </c>
    </row>
    <row r="82" spans="1:2">
      <c r="A82" t="s">
        <v>1016</v>
      </c>
      <c r="B82" t="s">
        <v>1558</v>
      </c>
    </row>
    <row r="83" spans="1:2">
      <c r="A83" t="s">
        <v>1016</v>
      </c>
      <c r="B83" t="s">
        <v>1014</v>
      </c>
    </row>
    <row r="84" spans="1:2">
      <c r="A84" t="s">
        <v>1016</v>
      </c>
      <c r="B84" t="s">
        <v>1556</v>
      </c>
    </row>
    <row r="85" spans="1:2">
      <c r="A85" t="s">
        <v>1021</v>
      </c>
      <c r="B85" t="s">
        <v>1019</v>
      </c>
    </row>
    <row r="86" spans="1:2">
      <c r="A86" t="s">
        <v>1028</v>
      </c>
      <c r="B86" t="s">
        <v>1026</v>
      </c>
    </row>
    <row r="87" spans="1:2">
      <c r="A87" t="s">
        <v>1159</v>
      </c>
      <c r="B87" t="s">
        <v>1157</v>
      </c>
    </row>
    <row r="88" spans="1:2">
      <c r="A88" t="s">
        <v>1159</v>
      </c>
      <c r="B88" t="s">
        <v>1180</v>
      </c>
    </row>
    <row r="89" spans="1:2">
      <c r="A89" t="s">
        <v>1159</v>
      </c>
      <c r="B89" t="s">
        <v>1213</v>
      </c>
    </row>
    <row r="90" spans="1:2">
      <c r="A90" t="s">
        <v>1159</v>
      </c>
      <c r="B90" t="s">
        <v>1205</v>
      </c>
    </row>
    <row r="91" spans="1:2">
      <c r="A91" t="s">
        <v>1159</v>
      </c>
      <c r="B91" t="s">
        <v>1233</v>
      </c>
    </row>
    <row r="92" spans="1:2">
      <c r="A92" t="s">
        <v>1159</v>
      </c>
      <c r="B92" t="s">
        <v>1241</v>
      </c>
    </row>
    <row r="93" spans="1:2">
      <c r="A93" t="s">
        <v>1144</v>
      </c>
      <c r="B93" t="s">
        <v>1142</v>
      </c>
    </row>
    <row r="94" spans="1:2">
      <c r="A94" t="s">
        <v>1162</v>
      </c>
      <c r="B94" t="s">
        <v>1160</v>
      </c>
    </row>
    <row r="95" spans="1:2">
      <c r="A95" t="s">
        <v>1141</v>
      </c>
      <c r="B95" t="s">
        <v>1197</v>
      </c>
    </row>
    <row r="96" spans="1:2">
      <c r="A96" t="s">
        <v>1141</v>
      </c>
      <c r="B96" t="s">
        <v>1203</v>
      </c>
    </row>
    <row r="97" spans="1:2">
      <c r="A97" t="s">
        <v>1141</v>
      </c>
      <c r="B97" t="s">
        <v>1139</v>
      </c>
    </row>
    <row r="98" spans="1:2">
      <c r="A98" t="s">
        <v>1141</v>
      </c>
      <c r="B98" t="s">
        <v>1282</v>
      </c>
    </row>
    <row r="99" spans="1:2">
      <c r="A99" t="s">
        <v>1481</v>
      </c>
      <c r="B99" t="s">
        <v>1538</v>
      </c>
    </row>
    <row r="100" spans="1:2">
      <c r="A100" t="s">
        <v>1481</v>
      </c>
      <c r="B100" t="s">
        <v>1517</v>
      </c>
    </row>
    <row r="101" spans="1:2">
      <c r="A101" t="s">
        <v>1129</v>
      </c>
      <c r="B101" t="s">
        <v>1127</v>
      </c>
    </row>
    <row r="102" spans="1:2">
      <c r="A102" t="s">
        <v>1129</v>
      </c>
      <c r="B102" t="s">
        <v>1169</v>
      </c>
    </row>
    <row r="103" spans="1:2">
      <c r="A103" t="s">
        <v>1129</v>
      </c>
      <c r="B103" t="s">
        <v>1132</v>
      </c>
    </row>
    <row r="104" spans="1:2">
      <c r="A104" t="s">
        <v>1129</v>
      </c>
      <c r="B104" t="s">
        <v>1546</v>
      </c>
    </row>
    <row r="105" spans="1:2">
      <c r="A105" t="s">
        <v>1129</v>
      </c>
      <c r="B105" t="s">
        <v>1511</v>
      </c>
    </row>
    <row r="106" spans="1:2">
      <c r="A106" t="s">
        <v>1116</v>
      </c>
      <c r="B106" t="s">
        <v>1114</v>
      </c>
    </row>
    <row r="107" spans="1:2">
      <c r="A107" t="s">
        <v>1116</v>
      </c>
      <c r="B107" t="s">
        <v>1119</v>
      </c>
    </row>
    <row r="108" spans="1:2">
      <c r="A108" t="s">
        <v>1116</v>
      </c>
      <c r="B108" t="s">
        <v>1155</v>
      </c>
    </row>
    <row r="109" spans="1:2">
      <c r="A109" t="s">
        <v>1116</v>
      </c>
      <c r="B109" t="s">
        <v>1165</v>
      </c>
    </row>
    <row r="110" spans="1:2">
      <c r="A110" t="s">
        <v>1116</v>
      </c>
      <c r="B110" t="s">
        <v>1207</v>
      </c>
    </row>
    <row r="111" spans="1:2">
      <c r="A111" t="s">
        <v>1116</v>
      </c>
      <c r="B111" t="s">
        <v>1221</v>
      </c>
    </row>
    <row r="112" spans="1:2">
      <c r="A112" t="s">
        <v>1116</v>
      </c>
      <c r="B112" t="s">
        <v>1225</v>
      </c>
    </row>
    <row r="113" spans="1:2">
      <c r="A113" t="s">
        <v>1116</v>
      </c>
      <c r="B113" t="s">
        <v>1245</v>
      </c>
    </row>
    <row r="114" spans="1:2">
      <c r="A114" t="s">
        <v>1116</v>
      </c>
      <c r="B114" t="s">
        <v>1252</v>
      </c>
    </row>
    <row r="115" spans="1:2">
      <c r="A115" t="s">
        <v>1116</v>
      </c>
      <c r="B115" t="s">
        <v>1258</v>
      </c>
    </row>
    <row r="116" spans="1:2">
      <c r="A116" t="s">
        <v>1116</v>
      </c>
      <c r="B116" t="s">
        <v>1260</v>
      </c>
    </row>
    <row r="117" spans="1:2">
      <c r="A117" t="s">
        <v>1116</v>
      </c>
      <c r="B117" t="s">
        <v>1505</v>
      </c>
    </row>
    <row r="118" spans="1:2">
      <c r="A118" t="s">
        <v>1116</v>
      </c>
      <c r="B118" t="s">
        <v>1507</v>
      </c>
    </row>
    <row r="119" spans="1:2">
      <c r="A119" t="s">
        <v>1116</v>
      </c>
      <c r="B119" t="s">
        <v>1523</v>
      </c>
    </row>
    <row r="120" spans="1:2">
      <c r="A120" t="s">
        <v>1116</v>
      </c>
      <c r="B120" t="s">
        <v>1175</v>
      </c>
    </row>
    <row r="121" spans="1:2">
      <c r="A121" t="s">
        <v>1116</v>
      </c>
      <c r="B121" t="s">
        <v>1189</v>
      </c>
    </row>
    <row r="122" spans="1:2">
      <c r="A122" t="s">
        <v>1116</v>
      </c>
      <c r="B122" t="s">
        <v>1134</v>
      </c>
    </row>
    <row r="123" spans="1:2">
      <c r="A123" t="s">
        <v>1116</v>
      </c>
      <c r="B123" t="s">
        <v>1187</v>
      </c>
    </row>
    <row r="124" spans="1:2">
      <c r="A124" t="s">
        <v>1116</v>
      </c>
      <c r="B124" t="s">
        <v>1471</v>
      </c>
    </row>
    <row r="125" spans="1:2">
      <c r="A125" t="s">
        <v>1116</v>
      </c>
      <c r="B125" t="s">
        <v>1532</v>
      </c>
    </row>
    <row r="126" spans="1:2">
      <c r="A126" t="s">
        <v>1116</v>
      </c>
      <c r="B126" t="s">
        <v>1465</v>
      </c>
    </row>
    <row r="127" spans="1:2">
      <c r="A127" t="s">
        <v>1116</v>
      </c>
      <c r="B127" t="s">
        <v>1209</v>
      </c>
    </row>
    <row r="128" spans="1:2">
      <c r="A128" t="s">
        <v>1116</v>
      </c>
      <c r="B128" t="s">
        <v>1515</v>
      </c>
    </row>
    <row r="129" spans="1:2">
      <c r="A129" t="s">
        <v>1138</v>
      </c>
      <c r="B129" t="s">
        <v>1231</v>
      </c>
    </row>
    <row r="130" spans="1:2">
      <c r="A130" t="s">
        <v>1179</v>
      </c>
      <c r="B130" t="s">
        <v>1177</v>
      </c>
    </row>
    <row r="131" spans="1:2">
      <c r="A131" t="s">
        <v>1149</v>
      </c>
      <c r="B131" t="s">
        <v>1147</v>
      </c>
    </row>
    <row r="132" spans="1:2">
      <c r="A132" t="s">
        <v>1149</v>
      </c>
      <c r="B132" t="s">
        <v>1199</v>
      </c>
    </row>
    <row r="133" spans="1:2">
      <c r="A133" t="s">
        <v>1126</v>
      </c>
      <c r="B133" t="s">
        <v>1130</v>
      </c>
    </row>
    <row r="134" spans="1:2">
      <c r="A134" t="s">
        <v>1126</v>
      </c>
      <c r="B134" t="s">
        <v>1167</v>
      </c>
    </row>
    <row r="135" spans="1:2">
      <c r="A135" t="s">
        <v>1126</v>
      </c>
      <c r="B135" t="s">
        <v>1171</v>
      </c>
    </row>
    <row r="136" spans="1:2">
      <c r="A136" t="s">
        <v>1126</v>
      </c>
      <c r="B136" t="s">
        <v>1191</v>
      </c>
    </row>
    <row r="137" spans="1:2">
      <c r="A137" t="s">
        <v>1126</v>
      </c>
      <c r="B137" t="s">
        <v>1182</v>
      </c>
    </row>
    <row r="138" spans="1:2">
      <c r="A138" t="s">
        <v>1126</v>
      </c>
      <c r="B138" t="s">
        <v>1247</v>
      </c>
    </row>
    <row r="139" spans="1:2">
      <c r="A139" t="s">
        <v>1126</v>
      </c>
      <c r="B139" t="s">
        <v>1124</v>
      </c>
    </row>
    <row r="140" spans="1:2">
      <c r="A140" t="s">
        <v>1126</v>
      </c>
      <c r="B140" t="s">
        <v>1223</v>
      </c>
    </row>
    <row r="141" spans="1:2">
      <c r="A141" t="s">
        <v>1126</v>
      </c>
      <c r="B141" t="s">
        <v>1193</v>
      </c>
    </row>
    <row r="142" spans="1:2">
      <c r="A142" t="s">
        <v>1186</v>
      </c>
      <c r="B142" t="s">
        <v>1239</v>
      </c>
    </row>
    <row r="143" spans="1:2">
      <c r="A143" t="s">
        <v>1186</v>
      </c>
      <c r="B143" t="s">
        <v>1184</v>
      </c>
    </row>
    <row r="144" spans="1:2">
      <c r="A144" t="s">
        <v>1186</v>
      </c>
      <c r="B144" t="s">
        <v>1484</v>
      </c>
    </row>
    <row r="145" spans="1:2">
      <c r="A145" t="s">
        <v>1154</v>
      </c>
      <c r="B145" t="s">
        <v>1152</v>
      </c>
    </row>
    <row r="146" spans="1:2">
      <c r="A146" t="s">
        <v>1154</v>
      </c>
      <c r="B146" t="s">
        <v>1229</v>
      </c>
    </row>
    <row r="147" spans="1:2">
      <c r="A147" t="s">
        <v>1123</v>
      </c>
      <c r="B147" t="s">
        <v>1215</v>
      </c>
    </row>
    <row r="148" spans="1:2">
      <c r="A148" t="s">
        <v>1123</v>
      </c>
      <c r="B148" t="s">
        <v>1249</v>
      </c>
    </row>
    <row r="149" spans="1:2">
      <c r="A149" t="s">
        <v>1123</v>
      </c>
      <c r="B149" t="s">
        <v>1145</v>
      </c>
    </row>
    <row r="150" spans="1:2">
      <c r="A150" t="s">
        <v>1123</v>
      </c>
      <c r="B150" t="s">
        <v>1211</v>
      </c>
    </row>
    <row r="151" spans="1:2">
      <c r="A151" t="s">
        <v>1123</v>
      </c>
      <c r="B151" t="s">
        <v>1121</v>
      </c>
    </row>
    <row r="152" spans="1:2">
      <c r="A152" t="s">
        <v>1097</v>
      </c>
      <c r="B152" t="s">
        <v>1096</v>
      </c>
    </row>
    <row r="153" spans="1:2">
      <c r="A153" t="s">
        <v>1111</v>
      </c>
      <c r="B153" t="s">
        <v>1110</v>
      </c>
    </row>
    <row r="154" spans="1:2">
      <c r="A154" t="s">
        <v>1088</v>
      </c>
      <c r="B154" t="s">
        <v>1087</v>
      </c>
    </row>
    <row r="155" spans="1:2">
      <c r="A155" t="s">
        <v>1093</v>
      </c>
      <c r="B155" t="s">
        <v>1091</v>
      </c>
    </row>
    <row r="156" spans="1:2">
      <c r="A156" t="s">
        <v>1103</v>
      </c>
      <c r="B156" t="s">
        <v>1102</v>
      </c>
    </row>
    <row r="157" spans="1:2">
      <c r="A157" t="s">
        <v>1109</v>
      </c>
      <c r="B157" t="s">
        <v>1107</v>
      </c>
    </row>
    <row r="158" spans="1:2">
      <c r="A158" t="s">
        <v>1109</v>
      </c>
      <c r="B158" t="s">
        <v>1217</v>
      </c>
    </row>
    <row r="159" spans="1:2">
      <c r="A159" t="s">
        <v>1095</v>
      </c>
      <c r="B159" t="s">
        <v>1094</v>
      </c>
    </row>
    <row r="160" spans="1:2">
      <c r="A160" t="s">
        <v>1099</v>
      </c>
      <c r="B160" t="s">
        <v>1098</v>
      </c>
    </row>
    <row r="161" spans="1:2">
      <c r="A161" t="s">
        <v>1101</v>
      </c>
      <c r="B161" t="s">
        <v>1100</v>
      </c>
    </row>
    <row r="162" spans="1:2">
      <c r="A162" t="s">
        <v>1105</v>
      </c>
      <c r="B162" t="s">
        <v>1104</v>
      </c>
    </row>
  </sheetData>
  <autoFilter ref="A1:F32" xr:uid="{00000000-0009-0000-0000-000004000000}">
    <sortState xmlns:xlrd2="http://schemas.microsoft.com/office/spreadsheetml/2017/richdata2" ref="A2:F32">
      <sortCondition ref="A2:A32"/>
    </sortState>
  </autoFilter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D78"/>
  <sheetViews>
    <sheetView zoomScaleNormal="100" workbookViewId="0">
      <pane ySplit="2" topLeftCell="A3" activePane="bottomLeft" state="frozen"/>
      <selection pane="bottomLeft" activeCell="D9" sqref="D9"/>
    </sheetView>
  </sheetViews>
  <sheetFormatPr defaultColWidth="10.6640625" defaultRowHeight="13.8"/>
  <cols>
    <col min="1" max="1" width="14.109375" customWidth="1"/>
    <col min="2" max="2" width="19.77734375" customWidth="1"/>
    <col min="4" max="4" width="87.44140625" customWidth="1"/>
  </cols>
  <sheetData>
    <row r="2" spans="1:4" ht="14.4">
      <c r="A2" s="2" t="s">
        <v>558</v>
      </c>
      <c r="B2" s="2" t="s">
        <v>2</v>
      </c>
      <c r="C2" s="2" t="s">
        <v>3152</v>
      </c>
      <c r="D2" s="2" t="s">
        <v>3153</v>
      </c>
    </row>
    <row r="3" spans="1:4">
      <c r="A3" t="s">
        <v>561</v>
      </c>
      <c r="B3" t="s">
        <v>561</v>
      </c>
      <c r="C3" t="s">
        <v>3155</v>
      </c>
      <c r="D3" t="s">
        <v>3156</v>
      </c>
    </row>
    <row r="4" spans="1:4">
      <c r="A4" t="s">
        <v>564</v>
      </c>
      <c r="B4" t="s">
        <v>63</v>
      </c>
      <c r="C4" t="s">
        <v>3155</v>
      </c>
      <c r="D4" t="s">
        <v>3157</v>
      </c>
    </row>
    <row r="5" spans="1:4">
      <c r="A5" t="s">
        <v>565</v>
      </c>
      <c r="B5" t="s">
        <v>66</v>
      </c>
      <c r="C5" t="s">
        <v>3155</v>
      </c>
      <c r="D5" t="s">
        <v>3158</v>
      </c>
    </row>
    <row r="6" spans="1:4">
      <c r="A6" t="s">
        <v>566</v>
      </c>
      <c r="B6" t="s">
        <v>566</v>
      </c>
      <c r="C6" t="s">
        <v>566</v>
      </c>
      <c r="D6" t="s">
        <v>1746</v>
      </c>
    </row>
    <row r="7" spans="1:4">
      <c r="A7" t="s">
        <v>3160</v>
      </c>
      <c r="B7" t="s">
        <v>3160</v>
      </c>
      <c r="C7" t="s">
        <v>566</v>
      </c>
    </row>
    <row r="8" spans="1:4">
      <c r="A8" t="s">
        <v>3161</v>
      </c>
      <c r="B8" t="s">
        <v>3161</v>
      </c>
      <c r="C8" t="s">
        <v>566</v>
      </c>
    </row>
    <row r="9" spans="1:4">
      <c r="A9" t="s">
        <v>3162</v>
      </c>
      <c r="B9" t="s">
        <v>3162</v>
      </c>
      <c r="C9" t="s">
        <v>566</v>
      </c>
    </row>
    <row r="10" spans="1:4">
      <c r="A10" t="s">
        <v>580</v>
      </c>
      <c r="B10" t="s">
        <v>580</v>
      </c>
      <c r="C10" t="s">
        <v>3164</v>
      </c>
      <c r="D10" t="s">
        <v>3165</v>
      </c>
    </row>
    <row r="11" spans="1:4">
      <c r="A11" t="s">
        <v>582</v>
      </c>
      <c r="B11" t="s">
        <v>582</v>
      </c>
      <c r="C11" t="s">
        <v>3164</v>
      </c>
      <c r="D11" t="s">
        <v>3167</v>
      </c>
    </row>
    <row r="12" spans="1:4">
      <c r="A12" t="s">
        <v>583</v>
      </c>
      <c r="B12" t="s">
        <v>211</v>
      </c>
      <c r="C12" t="s">
        <v>3164</v>
      </c>
      <c r="D12" t="s">
        <v>3168</v>
      </c>
    </row>
    <row r="13" spans="1:4">
      <c r="A13" t="s">
        <v>584</v>
      </c>
      <c r="B13" t="s">
        <v>584</v>
      </c>
      <c r="C13" t="s">
        <v>3164</v>
      </c>
      <c r="D13" t="s">
        <v>1696</v>
      </c>
    </row>
    <row r="14" spans="1:4">
      <c r="A14" t="s">
        <v>585</v>
      </c>
      <c r="B14" t="s">
        <v>221</v>
      </c>
      <c r="C14" t="s">
        <v>3164</v>
      </c>
      <c r="D14" t="s">
        <v>3170</v>
      </c>
    </row>
    <row r="15" spans="1:4">
      <c r="A15" t="s">
        <v>586</v>
      </c>
      <c r="B15" t="s">
        <v>586</v>
      </c>
      <c r="C15" t="s">
        <v>3164</v>
      </c>
      <c r="D15" t="s">
        <v>1699</v>
      </c>
    </row>
    <row r="16" spans="1:4">
      <c r="A16" t="s">
        <v>587</v>
      </c>
      <c r="B16" t="s">
        <v>587</v>
      </c>
      <c r="C16" t="s">
        <v>3164</v>
      </c>
      <c r="D16" t="s">
        <v>1703</v>
      </c>
    </row>
    <row r="17" spans="1:4">
      <c r="A17" t="s">
        <v>588</v>
      </c>
      <c r="B17" t="s">
        <v>254</v>
      </c>
      <c r="C17" t="s">
        <v>3164</v>
      </c>
      <c r="D17" t="s">
        <v>3173</v>
      </c>
    </row>
    <row r="18" spans="1:4">
      <c r="A18" t="s">
        <v>589</v>
      </c>
      <c r="B18" t="s">
        <v>589</v>
      </c>
      <c r="C18" t="s">
        <v>3164</v>
      </c>
      <c r="D18" t="s">
        <v>3175</v>
      </c>
    </row>
    <row r="19" spans="1:4">
      <c r="A19" t="s">
        <v>590</v>
      </c>
      <c r="B19" t="s">
        <v>590</v>
      </c>
      <c r="C19" t="s">
        <v>3164</v>
      </c>
      <c r="D19" t="s">
        <v>1711</v>
      </c>
    </row>
    <row r="20" spans="1:4">
      <c r="A20" t="s">
        <v>3177</v>
      </c>
      <c r="B20" t="s">
        <v>3177</v>
      </c>
      <c r="C20" t="s">
        <v>3164</v>
      </c>
    </row>
    <row r="21" spans="1:4">
      <c r="A21" t="s">
        <v>3178</v>
      </c>
      <c r="B21" t="s">
        <v>3178</v>
      </c>
      <c r="C21" t="s">
        <v>3164</v>
      </c>
    </row>
    <row r="22" spans="1:4">
      <c r="A22" t="s">
        <v>3179</v>
      </c>
      <c r="B22" t="s">
        <v>3179</v>
      </c>
      <c r="C22" t="s">
        <v>3164</v>
      </c>
    </row>
    <row r="23" spans="1:4">
      <c r="A23" t="s">
        <v>3180</v>
      </c>
      <c r="B23" t="s">
        <v>3180</v>
      </c>
      <c r="C23" t="s">
        <v>3164</v>
      </c>
    </row>
    <row r="24" spans="1:4">
      <c r="A24" t="s">
        <v>3181</v>
      </c>
      <c r="B24" t="s">
        <v>3181</v>
      </c>
      <c r="C24" t="s">
        <v>3164</v>
      </c>
    </row>
    <row r="25" spans="1:4" ht="15" customHeight="1">
      <c r="A25" t="s">
        <v>591</v>
      </c>
      <c r="B25" t="s">
        <v>591</v>
      </c>
      <c r="C25" t="s">
        <v>3164</v>
      </c>
      <c r="D25" t="s">
        <v>1718</v>
      </c>
    </row>
    <row r="26" spans="1:4">
      <c r="A26" t="s">
        <v>599</v>
      </c>
      <c r="B26" t="s">
        <v>599</v>
      </c>
      <c r="C26" t="s">
        <v>3164</v>
      </c>
      <c r="D26" t="s">
        <v>3184</v>
      </c>
    </row>
    <row r="27" spans="1:4">
      <c r="A27" t="s">
        <v>600</v>
      </c>
      <c r="B27" t="s">
        <v>369</v>
      </c>
      <c r="C27" t="s">
        <v>3164</v>
      </c>
      <c r="D27" t="s">
        <v>1723</v>
      </c>
    </row>
    <row r="28" spans="1:4">
      <c r="A28" t="s">
        <v>601</v>
      </c>
      <c r="B28" t="s">
        <v>372</v>
      </c>
      <c r="C28" t="s">
        <v>3164</v>
      </c>
      <c r="D28" t="s">
        <v>373</v>
      </c>
    </row>
    <row r="29" spans="1:4">
      <c r="A29" t="s">
        <v>602</v>
      </c>
      <c r="B29" t="s">
        <v>375</v>
      </c>
      <c r="C29" t="s">
        <v>3164</v>
      </c>
      <c r="D29" t="s">
        <v>1729</v>
      </c>
    </row>
    <row r="30" spans="1:4">
      <c r="A30" t="s">
        <v>603</v>
      </c>
      <c r="B30" t="s">
        <v>378</v>
      </c>
      <c r="C30" t="s">
        <v>3164</v>
      </c>
      <c r="D30" t="s">
        <v>1731</v>
      </c>
    </row>
    <row r="31" spans="1:4">
      <c r="A31" t="s">
        <v>604</v>
      </c>
      <c r="B31" t="s">
        <v>604</v>
      </c>
      <c r="C31" t="s">
        <v>3164</v>
      </c>
      <c r="D31" t="s">
        <v>1732</v>
      </c>
    </row>
    <row r="32" spans="1:4">
      <c r="A32" t="s">
        <v>605</v>
      </c>
      <c r="B32" t="s">
        <v>605</v>
      </c>
      <c r="C32" t="s">
        <v>3164</v>
      </c>
      <c r="D32" t="s">
        <v>3187</v>
      </c>
    </row>
    <row r="33" spans="1:4">
      <c r="A33" t="s">
        <v>606</v>
      </c>
      <c r="B33" t="s">
        <v>414</v>
      </c>
      <c r="C33" t="s">
        <v>3164</v>
      </c>
      <c r="D33" t="s">
        <v>3188</v>
      </c>
    </row>
    <row r="34" spans="1:4">
      <c r="A34" t="s">
        <v>607</v>
      </c>
      <c r="B34" t="s">
        <v>607</v>
      </c>
      <c r="C34" t="s">
        <v>607</v>
      </c>
      <c r="D34" t="s">
        <v>3190</v>
      </c>
    </row>
    <row r="35" spans="1:4">
      <c r="A35" t="s">
        <v>3191</v>
      </c>
      <c r="B35" t="s">
        <v>3191</v>
      </c>
      <c r="C35" t="s">
        <v>607</v>
      </c>
    </row>
    <row r="36" spans="1:4">
      <c r="A36" t="s">
        <v>3192</v>
      </c>
      <c r="B36" t="s">
        <v>3192</v>
      </c>
      <c r="C36" t="s">
        <v>607</v>
      </c>
    </row>
    <row r="37" spans="1:4">
      <c r="A37" t="s">
        <v>608</v>
      </c>
      <c r="B37" t="s">
        <v>426</v>
      </c>
      <c r="C37" t="s">
        <v>3193</v>
      </c>
      <c r="D37" t="s">
        <v>3194</v>
      </c>
    </row>
    <row r="38" spans="1:4">
      <c r="A38" t="s">
        <v>609</v>
      </c>
      <c r="B38" t="s">
        <v>429</v>
      </c>
      <c r="C38" t="s">
        <v>3193</v>
      </c>
      <c r="D38" t="s">
        <v>3195</v>
      </c>
    </row>
    <row r="39" spans="1:4">
      <c r="A39" t="s">
        <v>610</v>
      </c>
      <c r="B39" t="s">
        <v>432</v>
      </c>
      <c r="C39" t="s">
        <v>610</v>
      </c>
      <c r="D39" t="s">
        <v>3196</v>
      </c>
    </row>
    <row r="40" spans="1:4">
      <c r="A40" t="s">
        <v>611</v>
      </c>
      <c r="B40" t="s">
        <v>435</v>
      </c>
      <c r="C40" t="s">
        <v>3197</v>
      </c>
      <c r="D40" t="s">
        <v>3198</v>
      </c>
    </row>
    <row r="41" spans="1:4">
      <c r="A41" t="s">
        <v>612</v>
      </c>
      <c r="B41" t="s">
        <v>438</v>
      </c>
      <c r="C41" t="s">
        <v>3197</v>
      </c>
      <c r="D41" t="s">
        <v>3199</v>
      </c>
    </row>
    <row r="42" spans="1:4">
      <c r="A42" t="s">
        <v>613</v>
      </c>
      <c r="B42" t="s">
        <v>441</v>
      </c>
      <c r="C42" t="s">
        <v>3197</v>
      </c>
      <c r="D42" t="s">
        <v>3200</v>
      </c>
    </row>
    <row r="43" spans="1:4">
      <c r="A43" t="s">
        <v>614</v>
      </c>
      <c r="B43" t="s">
        <v>444</v>
      </c>
      <c r="C43" t="s">
        <v>3201</v>
      </c>
      <c r="D43" t="s">
        <v>3202</v>
      </c>
    </row>
    <row r="44" spans="1:4">
      <c r="A44" t="s">
        <v>615</v>
      </c>
      <c r="B44" t="s">
        <v>447</v>
      </c>
      <c r="C44" t="s">
        <v>3201</v>
      </c>
      <c r="D44" t="s">
        <v>3203</v>
      </c>
    </row>
    <row r="45" spans="1:4">
      <c r="A45" t="s">
        <v>616</v>
      </c>
      <c r="B45" t="s">
        <v>450</v>
      </c>
      <c r="C45" t="s">
        <v>3201</v>
      </c>
      <c r="D45" t="s">
        <v>3204</v>
      </c>
    </row>
    <row r="46" spans="1:4">
      <c r="A46" t="s">
        <v>617</v>
      </c>
      <c r="B46" t="s">
        <v>453</v>
      </c>
      <c r="C46" t="s">
        <v>3201</v>
      </c>
      <c r="D46" t="s">
        <v>3205</v>
      </c>
    </row>
    <row r="47" spans="1:4">
      <c r="A47" t="s">
        <v>618</v>
      </c>
      <c r="B47" t="s">
        <v>456</v>
      </c>
      <c r="C47" t="s">
        <v>3201</v>
      </c>
      <c r="D47" t="s">
        <v>3206</v>
      </c>
    </row>
    <row r="48" spans="1:4">
      <c r="A48" t="s">
        <v>619</v>
      </c>
      <c r="B48" t="s">
        <v>459</v>
      </c>
      <c r="C48" t="s">
        <v>619</v>
      </c>
      <c r="D48" t="s">
        <v>3207</v>
      </c>
    </row>
    <row r="49" spans="1:4">
      <c r="A49" t="s">
        <v>620</v>
      </c>
      <c r="B49" t="s">
        <v>462</v>
      </c>
      <c r="C49" t="s">
        <v>3208</v>
      </c>
      <c r="D49" t="s">
        <v>3209</v>
      </c>
    </row>
    <row r="50" spans="1:4">
      <c r="A50" t="s">
        <v>621</v>
      </c>
      <c r="B50" t="s">
        <v>465</v>
      </c>
      <c r="C50" t="s">
        <v>3208</v>
      </c>
      <c r="D50" t="s">
        <v>3210</v>
      </c>
    </row>
    <row r="51" spans="1:4">
      <c r="A51" t="s">
        <v>622</v>
      </c>
      <c r="B51" t="s">
        <v>468</v>
      </c>
      <c r="C51" t="s">
        <v>3208</v>
      </c>
      <c r="D51" t="s">
        <v>3211</v>
      </c>
    </row>
    <row r="52" spans="1:4">
      <c r="A52" t="s">
        <v>623</v>
      </c>
      <c r="B52" t="s">
        <v>471</v>
      </c>
      <c r="C52" t="s">
        <v>3208</v>
      </c>
      <c r="D52" t="s">
        <v>3212</v>
      </c>
    </row>
    <row r="53" spans="1:4">
      <c r="A53" t="s">
        <v>624</v>
      </c>
      <c r="B53" t="s">
        <v>474</v>
      </c>
      <c r="C53" t="s">
        <v>3213</v>
      </c>
      <c r="D53" t="s">
        <v>3214</v>
      </c>
    </row>
    <row r="54" spans="1:4">
      <c r="A54" t="s">
        <v>625</v>
      </c>
      <c r="B54" t="s">
        <v>477</v>
      </c>
      <c r="C54" t="s">
        <v>3213</v>
      </c>
      <c r="D54" t="s">
        <v>3215</v>
      </c>
    </row>
    <row r="55" spans="1:4">
      <c r="A55" t="s">
        <v>626</v>
      </c>
      <c r="B55" t="s">
        <v>480</v>
      </c>
      <c r="C55" t="s">
        <v>3213</v>
      </c>
      <c r="D55" t="s">
        <v>3216</v>
      </c>
    </row>
    <row r="56" spans="1:4">
      <c r="A56" t="s">
        <v>627</v>
      </c>
      <c r="B56" t="s">
        <v>483</v>
      </c>
      <c r="C56" t="s">
        <v>627</v>
      </c>
      <c r="D56" t="s">
        <v>3217</v>
      </c>
    </row>
    <row r="57" spans="1:4">
      <c r="A57" t="s">
        <v>628</v>
      </c>
      <c r="B57" t="s">
        <v>486</v>
      </c>
      <c r="C57" t="s">
        <v>3218</v>
      </c>
      <c r="D57" t="s">
        <v>3219</v>
      </c>
    </row>
    <row r="58" spans="1:4">
      <c r="A58" t="s">
        <v>629</v>
      </c>
      <c r="B58" t="s">
        <v>489</v>
      </c>
      <c r="C58" t="s">
        <v>3218</v>
      </c>
      <c r="D58" t="s">
        <v>3220</v>
      </c>
    </row>
    <row r="59" spans="1:4">
      <c r="A59" t="s">
        <v>630</v>
      </c>
      <c r="B59" t="s">
        <v>492</v>
      </c>
      <c r="C59" t="s">
        <v>3218</v>
      </c>
      <c r="D59" t="s">
        <v>3150</v>
      </c>
    </row>
    <row r="60" spans="1:4">
      <c r="A60" t="s">
        <v>631</v>
      </c>
      <c r="B60" t="s">
        <v>495</v>
      </c>
      <c r="C60" t="s">
        <v>3218</v>
      </c>
      <c r="D60" t="s">
        <v>3221</v>
      </c>
    </row>
    <row r="61" spans="1:4">
      <c r="A61" t="s">
        <v>632</v>
      </c>
      <c r="B61" t="s">
        <v>498</v>
      </c>
      <c r="C61" t="s">
        <v>3218</v>
      </c>
      <c r="D61" t="s">
        <v>3222</v>
      </c>
    </row>
    <row r="62" spans="1:4">
      <c r="A62" t="s">
        <v>633</v>
      </c>
      <c r="B62" t="s">
        <v>501</v>
      </c>
      <c r="C62" t="s">
        <v>3223</v>
      </c>
      <c r="D62" t="s">
        <v>3224</v>
      </c>
    </row>
    <row r="63" spans="1:4">
      <c r="A63" t="s">
        <v>634</v>
      </c>
      <c r="B63" t="s">
        <v>504</v>
      </c>
      <c r="C63" t="s">
        <v>3223</v>
      </c>
      <c r="D63" t="s">
        <v>505</v>
      </c>
    </row>
    <row r="64" spans="1:4">
      <c r="A64" t="s">
        <v>635</v>
      </c>
      <c r="B64" t="s">
        <v>507</v>
      </c>
      <c r="C64" t="s">
        <v>3223</v>
      </c>
      <c r="D64" t="s">
        <v>3225</v>
      </c>
    </row>
    <row r="65" spans="1:4">
      <c r="A65" t="s">
        <v>636</v>
      </c>
      <c r="B65" t="s">
        <v>510</v>
      </c>
      <c r="C65" t="s">
        <v>3223</v>
      </c>
      <c r="D65" t="s">
        <v>3226</v>
      </c>
    </row>
    <row r="66" spans="1:4">
      <c r="A66" t="s">
        <v>637</v>
      </c>
      <c r="B66" t="s">
        <v>513</v>
      </c>
      <c r="C66" t="s">
        <v>637</v>
      </c>
      <c r="D66" t="s">
        <v>3227</v>
      </c>
    </row>
    <row r="67" spans="1:4">
      <c r="A67" t="s">
        <v>638</v>
      </c>
      <c r="B67" t="s">
        <v>517</v>
      </c>
      <c r="C67" t="s">
        <v>638</v>
      </c>
      <c r="D67" t="s">
        <v>3228</v>
      </c>
    </row>
    <row r="68" spans="1:4">
      <c r="A68" t="s">
        <v>639</v>
      </c>
      <c r="B68" t="s">
        <v>520</v>
      </c>
      <c r="C68" t="s">
        <v>3229</v>
      </c>
      <c r="D68" t="s">
        <v>3230</v>
      </c>
    </row>
    <row r="69" spans="1:4">
      <c r="A69" t="s">
        <v>640</v>
      </c>
      <c r="B69" t="s">
        <v>523</v>
      </c>
      <c r="C69" t="s">
        <v>3229</v>
      </c>
      <c r="D69" t="s">
        <v>3231</v>
      </c>
    </row>
    <row r="70" spans="1:4">
      <c r="A70" t="s">
        <v>641</v>
      </c>
      <c r="B70" t="s">
        <v>526</v>
      </c>
      <c r="C70" t="s">
        <v>3232</v>
      </c>
      <c r="D70" t="s">
        <v>3233</v>
      </c>
    </row>
    <row r="71" spans="1:4">
      <c r="A71" t="s">
        <v>642</v>
      </c>
      <c r="B71" t="s">
        <v>529</v>
      </c>
      <c r="C71" t="s">
        <v>3232</v>
      </c>
      <c r="D71" t="s">
        <v>3234</v>
      </c>
    </row>
    <row r="72" spans="1:4">
      <c r="A72" t="s">
        <v>643</v>
      </c>
      <c r="B72" t="s">
        <v>532</v>
      </c>
      <c r="C72" t="s">
        <v>3235</v>
      </c>
      <c r="D72" t="s">
        <v>3236</v>
      </c>
    </row>
    <row r="73" spans="1:4">
      <c r="A73" t="s">
        <v>644</v>
      </c>
      <c r="B73" t="s">
        <v>535</v>
      </c>
      <c r="C73" t="s">
        <v>3235</v>
      </c>
      <c r="D73" t="s">
        <v>3237</v>
      </c>
    </row>
    <row r="74" spans="1:4">
      <c r="A74" t="s">
        <v>646</v>
      </c>
      <c r="B74" t="s">
        <v>645</v>
      </c>
      <c r="C74" t="s">
        <v>3235</v>
      </c>
    </row>
    <row r="75" spans="1:4">
      <c r="A75" t="s">
        <v>3238</v>
      </c>
      <c r="B75" t="s">
        <v>538</v>
      </c>
      <c r="C75" t="s">
        <v>3235</v>
      </c>
      <c r="D75" t="s">
        <v>3151</v>
      </c>
    </row>
    <row r="76" spans="1:4">
      <c r="A76" t="s">
        <v>647</v>
      </c>
      <c r="B76" t="s">
        <v>541</v>
      </c>
      <c r="C76" t="s">
        <v>647</v>
      </c>
      <c r="D76" t="s">
        <v>3239</v>
      </c>
    </row>
    <row r="77" spans="1:4">
      <c r="A77" t="s">
        <v>649</v>
      </c>
      <c r="B77" t="s">
        <v>648</v>
      </c>
      <c r="C77" t="s">
        <v>649</v>
      </c>
    </row>
    <row r="78" spans="1:4">
      <c r="A78" t="s">
        <v>688</v>
      </c>
      <c r="B78" t="s">
        <v>688</v>
      </c>
      <c r="C78" t="s">
        <v>688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70"/>
  <sheetViews>
    <sheetView zoomScaleNormal="100" workbookViewId="0">
      <selection activeCell="D20" sqref="D20"/>
    </sheetView>
  </sheetViews>
  <sheetFormatPr defaultColWidth="10.6640625" defaultRowHeight="13.8"/>
  <cols>
    <col min="2" max="2" width="38.77734375" customWidth="1"/>
  </cols>
  <sheetData>
    <row r="2" spans="1:2">
      <c r="A2" s="14" t="s">
        <v>3320</v>
      </c>
      <c r="B2" s="14" t="s">
        <v>654</v>
      </c>
    </row>
    <row r="3" spans="1:2">
      <c r="A3" t="s">
        <v>3321</v>
      </c>
      <c r="B3" t="s">
        <v>3322</v>
      </c>
    </row>
    <row r="4" spans="1:2">
      <c r="A4" t="s">
        <v>3323</v>
      </c>
      <c r="B4" t="s">
        <v>3324</v>
      </c>
    </row>
    <row r="5" spans="1:2">
      <c r="A5" t="s">
        <v>3325</v>
      </c>
      <c r="B5" t="s">
        <v>703</v>
      </c>
    </row>
    <row r="6" spans="1:2">
      <c r="A6" t="s">
        <v>3326</v>
      </c>
      <c r="B6" t="s">
        <v>706</v>
      </c>
    </row>
    <row r="7" spans="1:2">
      <c r="A7" t="s">
        <v>3327</v>
      </c>
      <c r="B7" t="s">
        <v>709</v>
      </c>
    </row>
    <row r="8" spans="1:2">
      <c r="A8" t="s">
        <v>3328</v>
      </c>
      <c r="B8" t="s">
        <v>716</v>
      </c>
    </row>
    <row r="9" spans="1:2">
      <c r="A9" t="s">
        <v>718</v>
      </c>
      <c r="B9" t="s">
        <v>73</v>
      </c>
    </row>
    <row r="10" spans="1:2">
      <c r="A10" t="s">
        <v>3329</v>
      </c>
      <c r="B10" t="s">
        <v>751</v>
      </c>
    </row>
    <row r="11" spans="1:2">
      <c r="A11" t="s">
        <v>3330</v>
      </c>
      <c r="B11" t="s">
        <v>735</v>
      </c>
    </row>
    <row r="12" spans="1:2">
      <c r="A12" t="s">
        <v>3331</v>
      </c>
      <c r="B12" t="s">
        <v>739</v>
      </c>
    </row>
    <row r="13" spans="1:2">
      <c r="A13" t="s">
        <v>3332</v>
      </c>
      <c r="B13" t="s">
        <v>741</v>
      </c>
    </row>
    <row r="14" spans="1:2">
      <c r="A14" t="s">
        <v>753</v>
      </c>
      <c r="B14" t="s">
        <v>753</v>
      </c>
    </row>
    <row r="15" spans="1:2">
      <c r="A15" t="s">
        <v>3333</v>
      </c>
      <c r="B15" t="s">
        <v>876</v>
      </c>
    </row>
    <row r="16" spans="1:2">
      <c r="A16" t="s">
        <v>3334</v>
      </c>
      <c r="B16" t="s">
        <v>744</v>
      </c>
    </row>
    <row r="17" spans="1:2">
      <c r="A17" t="s">
        <v>3335</v>
      </c>
      <c r="B17" t="s">
        <v>667</v>
      </c>
    </row>
    <row r="18" spans="1:2">
      <c r="A18" t="s">
        <v>3336</v>
      </c>
      <c r="B18" t="s">
        <v>670</v>
      </c>
    </row>
    <row r="19" spans="1:2">
      <c r="A19" t="s">
        <v>676</v>
      </c>
      <c r="B19" t="s">
        <v>159</v>
      </c>
    </row>
    <row r="20" spans="1:2">
      <c r="A20" t="s">
        <v>3337</v>
      </c>
      <c r="B20" t="s">
        <v>679</v>
      </c>
    </row>
    <row r="21" spans="1:2">
      <c r="A21" t="s">
        <v>3338</v>
      </c>
      <c r="B21" t="s">
        <v>727</v>
      </c>
    </row>
    <row r="22" spans="1:2">
      <c r="A22" t="s">
        <v>3339</v>
      </c>
      <c r="B22" t="s">
        <v>82</v>
      </c>
    </row>
    <row r="23" spans="1:2">
      <c r="A23" t="s">
        <v>3340</v>
      </c>
      <c r="B23" t="s">
        <v>3341</v>
      </c>
    </row>
    <row r="24" spans="1:2">
      <c r="A24" t="s">
        <v>3342</v>
      </c>
      <c r="B24" t="s">
        <v>721</v>
      </c>
    </row>
    <row r="25" spans="1:2">
      <c r="A25" t="s">
        <v>723</v>
      </c>
      <c r="B25" t="s">
        <v>724</v>
      </c>
    </row>
    <row r="26" spans="1:2">
      <c r="A26" t="s">
        <v>3343</v>
      </c>
      <c r="B26" t="s">
        <v>747</v>
      </c>
    </row>
    <row r="27" spans="1:2">
      <c r="A27" t="s">
        <v>3344</v>
      </c>
      <c r="B27" t="s">
        <v>3345</v>
      </c>
    </row>
    <row r="28" spans="1:2">
      <c r="A28" t="s">
        <v>3346</v>
      </c>
      <c r="B28" t="s">
        <v>790</v>
      </c>
    </row>
    <row r="29" spans="1:2">
      <c r="A29" t="s">
        <v>3347</v>
      </c>
      <c r="B29" t="s">
        <v>793</v>
      </c>
    </row>
    <row r="30" spans="1:2">
      <c r="A30" t="s">
        <v>795</v>
      </c>
      <c r="B30" t="s">
        <v>796</v>
      </c>
    </row>
    <row r="31" spans="1:2">
      <c r="A31" t="s">
        <v>798</v>
      </c>
      <c r="B31" t="s">
        <v>3348</v>
      </c>
    </row>
    <row r="32" spans="1:2">
      <c r="A32" t="s">
        <v>3349</v>
      </c>
      <c r="B32" t="s">
        <v>3350</v>
      </c>
    </row>
    <row r="33" spans="1:2">
      <c r="A33" t="s">
        <v>3351</v>
      </c>
      <c r="B33" t="s">
        <v>759</v>
      </c>
    </row>
    <row r="34" spans="1:2">
      <c r="A34" t="s">
        <v>3352</v>
      </c>
      <c r="B34" t="s">
        <v>3353</v>
      </c>
    </row>
    <row r="35" spans="1:2">
      <c r="A35" t="s">
        <v>3354</v>
      </c>
      <c r="B35" t="s">
        <v>771</v>
      </c>
    </row>
    <row r="36" spans="1:2">
      <c r="A36" t="s">
        <v>3355</v>
      </c>
      <c r="B36" t="s">
        <v>806</v>
      </c>
    </row>
    <row r="37" spans="1:2">
      <c r="A37" t="s">
        <v>3356</v>
      </c>
      <c r="B37" t="s">
        <v>776</v>
      </c>
    </row>
    <row r="38" spans="1:2">
      <c r="A38" t="s">
        <v>3357</v>
      </c>
      <c r="B38" t="s">
        <v>783</v>
      </c>
    </row>
    <row r="39" spans="1:2">
      <c r="A39" t="s">
        <v>802</v>
      </c>
      <c r="B39" t="s">
        <v>803</v>
      </c>
    </row>
    <row r="40" spans="1:2">
      <c r="A40" t="s">
        <v>3358</v>
      </c>
      <c r="B40" t="s">
        <v>809</v>
      </c>
    </row>
    <row r="41" spans="1:2">
      <c r="A41" t="s">
        <v>3359</v>
      </c>
      <c r="B41" t="s">
        <v>813</v>
      </c>
    </row>
    <row r="42" spans="1:2">
      <c r="A42" t="s">
        <v>821</v>
      </c>
      <c r="B42" t="s">
        <v>822</v>
      </c>
    </row>
    <row r="43" spans="1:2">
      <c r="A43" t="s">
        <v>3360</v>
      </c>
      <c r="B43" t="s">
        <v>816</v>
      </c>
    </row>
    <row r="44" spans="1:2">
      <c r="A44" t="s">
        <v>3361</v>
      </c>
      <c r="B44" t="s">
        <v>819</v>
      </c>
    </row>
    <row r="45" spans="1:2">
      <c r="A45" t="s">
        <v>3362</v>
      </c>
      <c r="B45" t="s">
        <v>3363</v>
      </c>
    </row>
    <row r="46" spans="1:2">
      <c r="A46" t="s">
        <v>3364</v>
      </c>
      <c r="B46" t="s">
        <v>3365</v>
      </c>
    </row>
    <row r="47" spans="1:2">
      <c r="A47" t="s">
        <v>3366</v>
      </c>
      <c r="B47" t="s">
        <v>3367</v>
      </c>
    </row>
    <row r="48" spans="1:2">
      <c r="A48" t="s">
        <v>3368</v>
      </c>
      <c r="B48" t="s">
        <v>3369</v>
      </c>
    </row>
    <row r="49" spans="1:2">
      <c r="A49" t="s">
        <v>3370</v>
      </c>
      <c r="B49" t="s">
        <v>696</v>
      </c>
    </row>
    <row r="50" spans="1:2">
      <c r="A50" t="s">
        <v>844</v>
      </c>
      <c r="B50" t="s">
        <v>845</v>
      </c>
    </row>
    <row r="51" spans="1:2">
      <c r="A51" t="s">
        <v>3371</v>
      </c>
      <c r="B51" t="s">
        <v>830</v>
      </c>
    </row>
    <row r="52" spans="1:2">
      <c r="A52" t="s">
        <v>833</v>
      </c>
      <c r="B52" t="s">
        <v>834</v>
      </c>
    </row>
    <row r="53" spans="1:2">
      <c r="A53" t="s">
        <v>3372</v>
      </c>
      <c r="B53" t="s">
        <v>3373</v>
      </c>
    </row>
    <row r="54" spans="1:2">
      <c r="A54" t="s">
        <v>3374</v>
      </c>
      <c r="B54" t="s">
        <v>842</v>
      </c>
    </row>
    <row r="55" spans="1:2">
      <c r="A55" t="s">
        <v>3375</v>
      </c>
      <c r="B55" t="s">
        <v>3376</v>
      </c>
    </row>
    <row r="56" spans="1:2">
      <c r="A56" t="s">
        <v>681</v>
      </c>
      <c r="B56" t="s">
        <v>682</v>
      </c>
    </row>
    <row r="57" spans="1:2">
      <c r="A57" t="s">
        <v>3377</v>
      </c>
      <c r="B57" t="s">
        <v>663</v>
      </c>
    </row>
    <row r="58" spans="1:2">
      <c r="A58" t="s">
        <v>3378</v>
      </c>
      <c r="B58" t="s">
        <v>3379</v>
      </c>
    </row>
    <row r="59" spans="1:2">
      <c r="A59" t="s">
        <v>847</v>
      </c>
      <c r="B59" t="s">
        <v>848</v>
      </c>
    </row>
    <row r="60" spans="1:2">
      <c r="A60" t="s">
        <v>855</v>
      </c>
      <c r="B60" t="s">
        <v>859</v>
      </c>
    </row>
    <row r="61" spans="1:2">
      <c r="A61" t="s">
        <v>3380</v>
      </c>
      <c r="B61" t="s">
        <v>885</v>
      </c>
    </row>
    <row r="62" spans="1:2">
      <c r="A62" t="s">
        <v>3381</v>
      </c>
      <c r="B62" t="s">
        <v>3382</v>
      </c>
    </row>
    <row r="63" spans="1:2">
      <c r="A63" t="s">
        <v>3383</v>
      </c>
      <c r="B63" t="s">
        <v>889</v>
      </c>
    </row>
    <row r="64" spans="1:2">
      <c r="A64" t="s">
        <v>3384</v>
      </c>
      <c r="B64" t="s">
        <v>3385</v>
      </c>
    </row>
    <row r="65" spans="1:2">
      <c r="A65" t="s">
        <v>860</v>
      </c>
      <c r="B65" t="s">
        <v>862</v>
      </c>
    </row>
    <row r="66" spans="1:2">
      <c r="A66" t="s">
        <v>3386</v>
      </c>
      <c r="B66" t="s">
        <v>3387</v>
      </c>
    </row>
    <row r="67" spans="1:2">
      <c r="A67" t="s">
        <v>3388</v>
      </c>
      <c r="B67" t="s">
        <v>853</v>
      </c>
    </row>
    <row r="68" spans="1:2">
      <c r="A68" t="s">
        <v>878</v>
      </c>
      <c r="B68" t="s">
        <v>879</v>
      </c>
    </row>
    <row r="69" spans="1:2">
      <c r="A69" t="s">
        <v>688</v>
      </c>
      <c r="B69" t="s">
        <v>689</v>
      </c>
    </row>
    <row r="70" spans="1:2">
      <c r="A70" t="s">
        <v>3389</v>
      </c>
      <c r="B70" t="s">
        <v>3390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96C7-4716-45B9-BA6B-C5E7326EC193}">
  <dimension ref="A1:F185"/>
  <sheetViews>
    <sheetView workbookViewId="0"/>
  </sheetViews>
  <sheetFormatPr defaultColWidth="8.88671875" defaultRowHeight="14.4"/>
  <cols>
    <col min="1" max="1" width="13.33203125" style="28" customWidth="1"/>
    <col min="2" max="2" width="15.5546875" style="28" customWidth="1"/>
    <col min="3" max="3" width="28.44140625" style="28" customWidth="1"/>
    <col min="4" max="4" width="28.44140625" style="37" customWidth="1"/>
    <col min="5" max="5" width="22.77734375" style="28" customWidth="1"/>
    <col min="6" max="6" width="46.6640625" style="35" customWidth="1"/>
    <col min="7" max="16384" width="8.88671875" style="28"/>
  </cols>
  <sheetData>
    <row r="1" spans="1:6">
      <c r="A1" s="47" t="s">
        <v>4525</v>
      </c>
      <c r="B1" s="31"/>
      <c r="E1" s="31"/>
      <c r="F1" s="45"/>
    </row>
    <row r="2" spans="1:6">
      <c r="A2" s="28" t="s">
        <v>4376</v>
      </c>
      <c r="B2" s="28" t="s">
        <v>4377</v>
      </c>
      <c r="C2" s="28" t="s">
        <v>3867</v>
      </c>
      <c r="D2" s="37" t="s">
        <v>653</v>
      </c>
      <c r="E2" s="28" t="s">
        <v>4378</v>
      </c>
      <c r="F2" s="35" t="s">
        <v>3241</v>
      </c>
    </row>
    <row r="3" spans="1:6">
      <c r="A3" s="44" t="s">
        <v>4379</v>
      </c>
      <c r="B3" s="44" t="s">
        <v>4403</v>
      </c>
      <c r="C3" s="44" t="s">
        <v>4366</v>
      </c>
      <c r="D3" s="36" t="s">
        <v>4329</v>
      </c>
      <c r="E3" s="44" t="s">
        <v>4380</v>
      </c>
      <c r="F3" s="44" t="s">
        <v>4404</v>
      </c>
    </row>
    <row r="4" spans="1:6">
      <c r="A4" s="44" t="s">
        <v>4379</v>
      </c>
      <c r="B4" s="44" t="s">
        <v>4405</v>
      </c>
      <c r="C4" s="44" t="s">
        <v>4366</v>
      </c>
      <c r="D4" s="36" t="s">
        <v>4329</v>
      </c>
      <c r="E4" s="44" t="s">
        <v>4380</v>
      </c>
      <c r="F4" s="44" t="s">
        <v>4406</v>
      </c>
    </row>
    <row r="5" spans="1:6">
      <c r="A5" s="44" t="s">
        <v>4379</v>
      </c>
      <c r="B5" s="44" t="s">
        <v>4407</v>
      </c>
      <c r="C5" s="44" t="s">
        <v>3958</v>
      </c>
      <c r="D5" s="36" t="s">
        <v>66</v>
      </c>
      <c r="E5" s="44" t="s">
        <v>4380</v>
      </c>
      <c r="F5" s="44" t="s">
        <v>4408</v>
      </c>
    </row>
    <row r="6" spans="1:6">
      <c r="A6" s="44" t="s">
        <v>4379</v>
      </c>
      <c r="B6" s="44" t="s">
        <v>1745</v>
      </c>
      <c r="C6" s="44" t="s">
        <v>1674</v>
      </c>
      <c r="D6" s="36" t="s">
        <v>3148</v>
      </c>
      <c r="E6" s="44" t="s">
        <v>4382</v>
      </c>
      <c r="F6" s="44" t="s">
        <v>4409</v>
      </c>
    </row>
    <row r="7" spans="1:6">
      <c r="A7" s="44" t="s">
        <v>4379</v>
      </c>
      <c r="B7" s="44" t="s">
        <v>1745</v>
      </c>
      <c r="C7" s="44" t="s">
        <v>1677</v>
      </c>
      <c r="D7" s="36" t="s">
        <v>4166</v>
      </c>
      <c r="E7" s="44" t="s">
        <v>4382</v>
      </c>
      <c r="F7" s="44" t="s">
        <v>4409</v>
      </c>
    </row>
    <row r="8" spans="1:6">
      <c r="A8" s="44" t="s">
        <v>4379</v>
      </c>
      <c r="B8" s="44" t="s">
        <v>1745</v>
      </c>
      <c r="C8" s="44" t="s">
        <v>4214</v>
      </c>
      <c r="D8" s="44" t="s">
        <v>4212</v>
      </c>
      <c r="E8" s="44" t="s">
        <v>4382</v>
      </c>
      <c r="F8" s="44" t="s">
        <v>4409</v>
      </c>
    </row>
    <row r="9" spans="1:6">
      <c r="A9" s="44" t="s">
        <v>4379</v>
      </c>
      <c r="B9" s="44" t="s">
        <v>4410</v>
      </c>
      <c r="C9" s="44" t="s">
        <v>4182</v>
      </c>
      <c r="D9" s="44" t="s">
        <v>4180</v>
      </c>
      <c r="E9" s="44" t="s">
        <v>4380</v>
      </c>
      <c r="F9" s="44" t="s">
        <v>4411</v>
      </c>
    </row>
    <row r="10" spans="1:6">
      <c r="A10" s="44" t="s">
        <v>4379</v>
      </c>
      <c r="B10" s="44" t="s">
        <v>4412</v>
      </c>
      <c r="C10" s="44" t="s">
        <v>4365</v>
      </c>
      <c r="D10" s="44" t="s">
        <v>4249</v>
      </c>
      <c r="E10" s="44" t="s">
        <v>4380</v>
      </c>
      <c r="F10" s="44" t="s">
        <v>4413</v>
      </c>
    </row>
    <row r="11" spans="1:6">
      <c r="A11" s="44" t="s">
        <v>4379</v>
      </c>
      <c r="B11" s="44" t="s">
        <v>4414</v>
      </c>
      <c r="C11" s="44" t="s">
        <v>1695</v>
      </c>
      <c r="D11" s="44" t="s">
        <v>211</v>
      </c>
      <c r="E11" s="44" t="s">
        <v>4380</v>
      </c>
      <c r="F11" s="44" t="s">
        <v>4415</v>
      </c>
    </row>
    <row r="12" spans="1:6">
      <c r="A12" s="44" t="s">
        <v>4379</v>
      </c>
      <c r="B12" s="44" t="s">
        <v>4416</v>
      </c>
      <c r="C12" s="44" t="s">
        <v>4363</v>
      </c>
      <c r="D12" s="44" t="s">
        <v>4245</v>
      </c>
      <c r="E12" s="44" t="s">
        <v>4380</v>
      </c>
      <c r="F12" s="44" t="s">
        <v>4417</v>
      </c>
    </row>
    <row r="13" spans="1:6">
      <c r="A13" s="44" t="s">
        <v>4379</v>
      </c>
      <c r="B13" s="44" t="s">
        <v>4418</v>
      </c>
      <c r="C13" s="44" t="s">
        <v>4363</v>
      </c>
      <c r="D13" s="44" t="s">
        <v>4245</v>
      </c>
      <c r="E13" s="44" t="s">
        <v>4380</v>
      </c>
      <c r="F13" s="44" t="s">
        <v>4419</v>
      </c>
    </row>
    <row r="14" spans="1:6">
      <c r="A14" s="44" t="s">
        <v>4379</v>
      </c>
      <c r="B14" s="44" t="s">
        <v>4420</v>
      </c>
      <c r="C14" s="44" t="s">
        <v>3411</v>
      </c>
      <c r="D14" s="44" t="s">
        <v>224</v>
      </c>
      <c r="E14" s="44" t="s">
        <v>4382</v>
      </c>
      <c r="F14" s="44" t="s">
        <v>4421</v>
      </c>
    </row>
    <row r="15" spans="1:6">
      <c r="A15" s="44" t="s">
        <v>4379</v>
      </c>
      <c r="B15" s="44" t="s">
        <v>4420</v>
      </c>
      <c r="C15" s="44" t="s">
        <v>4127</v>
      </c>
      <c r="D15" s="43" t="s">
        <v>4133</v>
      </c>
      <c r="E15" s="44" t="s">
        <v>4382</v>
      </c>
      <c r="F15" s="44" t="s">
        <v>4421</v>
      </c>
    </row>
    <row r="16" spans="1:6">
      <c r="A16" s="44" t="s">
        <v>4379</v>
      </c>
      <c r="B16" s="44" t="s">
        <v>4422</v>
      </c>
      <c r="C16" s="44" t="s">
        <v>4361</v>
      </c>
      <c r="D16" s="44" t="s">
        <v>4122</v>
      </c>
      <c r="E16" s="44" t="s">
        <v>4380</v>
      </c>
      <c r="F16" s="44" t="s">
        <v>4423</v>
      </c>
    </row>
    <row r="17" spans="1:6">
      <c r="A17" s="44" t="s">
        <v>4379</v>
      </c>
      <c r="B17" s="44" t="s">
        <v>4424</v>
      </c>
      <c r="C17" s="44" t="s">
        <v>4361</v>
      </c>
      <c r="D17" s="44" t="s">
        <v>4122</v>
      </c>
      <c r="E17" s="44" t="s">
        <v>4380</v>
      </c>
      <c r="F17" s="44" t="s">
        <v>4425</v>
      </c>
    </row>
    <row r="18" spans="1:6">
      <c r="A18" s="44" t="s">
        <v>4379</v>
      </c>
      <c r="B18" s="44" t="s">
        <v>4426</v>
      </c>
      <c r="C18" s="44" t="s">
        <v>4373</v>
      </c>
      <c r="D18" s="36" t="s">
        <v>557</v>
      </c>
      <c r="E18" s="44" t="s">
        <v>4380</v>
      </c>
      <c r="F18" s="44" t="s">
        <v>4427</v>
      </c>
    </row>
    <row r="19" spans="1:6">
      <c r="A19" s="44" t="s">
        <v>4379</v>
      </c>
      <c r="B19" s="44" t="s">
        <v>4428</v>
      </c>
      <c r="C19" s="44" t="s">
        <v>1710</v>
      </c>
      <c r="D19" s="44" t="s">
        <v>4240</v>
      </c>
      <c r="E19" s="44" t="s">
        <v>4380</v>
      </c>
      <c r="F19" s="44" t="s">
        <v>4429</v>
      </c>
    </row>
    <row r="20" spans="1:6">
      <c r="A20" s="44" t="s">
        <v>4379</v>
      </c>
      <c r="B20" s="44" t="s">
        <v>4430</v>
      </c>
      <c r="C20" s="44" t="s">
        <v>4131</v>
      </c>
      <c r="D20" s="44" t="s">
        <v>4129</v>
      </c>
      <c r="E20" s="44" t="s">
        <v>4382</v>
      </c>
      <c r="F20" s="44" t="s">
        <v>4431</v>
      </c>
    </row>
    <row r="21" spans="1:6">
      <c r="A21" s="44" t="s">
        <v>4379</v>
      </c>
      <c r="B21" s="44" t="s">
        <v>4430</v>
      </c>
      <c r="C21" s="44" t="s">
        <v>4164</v>
      </c>
      <c r="D21" s="43" t="s">
        <v>333</v>
      </c>
      <c r="E21" s="44" t="s">
        <v>4382</v>
      </c>
      <c r="F21" s="44" t="s">
        <v>4431</v>
      </c>
    </row>
    <row r="22" spans="1:6">
      <c r="A22" s="44" t="s">
        <v>4379</v>
      </c>
      <c r="B22" s="44" t="s">
        <v>4432</v>
      </c>
      <c r="C22" s="44" t="s">
        <v>4362</v>
      </c>
      <c r="D22" s="44" t="s">
        <v>4200</v>
      </c>
      <c r="E22" s="44" t="s">
        <v>4380</v>
      </c>
      <c r="F22" s="44" t="s">
        <v>4433</v>
      </c>
    </row>
    <row r="23" spans="1:6">
      <c r="A23" s="44" t="s">
        <v>4379</v>
      </c>
      <c r="B23" s="44" t="s">
        <v>4434</v>
      </c>
      <c r="C23" s="44" t="s">
        <v>4362</v>
      </c>
      <c r="D23" s="44" t="s">
        <v>4200</v>
      </c>
      <c r="E23" s="44" t="s">
        <v>4380</v>
      </c>
      <c r="F23" s="44" t="s">
        <v>4435</v>
      </c>
    </row>
    <row r="24" spans="1:6">
      <c r="A24" s="44" t="s">
        <v>4379</v>
      </c>
      <c r="B24" s="44" t="s">
        <v>4436</v>
      </c>
      <c r="C24" s="44" t="s">
        <v>4362</v>
      </c>
      <c r="D24" s="44" t="s">
        <v>4200</v>
      </c>
      <c r="E24" s="44" t="s">
        <v>4380</v>
      </c>
      <c r="F24" s="44" t="s">
        <v>4437</v>
      </c>
    </row>
    <row r="25" spans="1:6">
      <c r="A25" s="44" t="s">
        <v>4379</v>
      </c>
      <c r="B25" s="44" t="s">
        <v>4438</v>
      </c>
      <c r="C25" s="44" t="s">
        <v>4362</v>
      </c>
      <c r="D25" s="44" t="s">
        <v>4200</v>
      </c>
      <c r="E25" s="44" t="s">
        <v>4380</v>
      </c>
      <c r="F25" s="44" t="s">
        <v>4439</v>
      </c>
    </row>
    <row r="26" spans="1:6">
      <c r="A26" s="44" t="s">
        <v>4379</v>
      </c>
      <c r="B26" s="44" t="s">
        <v>4440</v>
      </c>
      <c r="C26" s="44" t="s">
        <v>4364</v>
      </c>
      <c r="D26" s="44" t="s">
        <v>4258</v>
      </c>
      <c r="E26" s="44" t="s">
        <v>4380</v>
      </c>
      <c r="F26" s="44" t="s">
        <v>4441</v>
      </c>
    </row>
    <row r="27" spans="1:6">
      <c r="A27" s="44" t="s">
        <v>4379</v>
      </c>
      <c r="B27" s="44" t="s">
        <v>4442</v>
      </c>
      <c r="C27" s="44" t="s">
        <v>4364</v>
      </c>
      <c r="D27" s="44" t="s">
        <v>4258</v>
      </c>
      <c r="E27" s="44" t="s">
        <v>4380</v>
      </c>
      <c r="F27" s="44" t="s">
        <v>4443</v>
      </c>
    </row>
    <row r="28" spans="1:6">
      <c r="A28" s="44" t="s">
        <v>4379</v>
      </c>
      <c r="B28" s="44" t="s">
        <v>4444</v>
      </c>
      <c r="C28" s="44" t="s">
        <v>4373</v>
      </c>
      <c r="D28" s="36" t="s">
        <v>557</v>
      </c>
      <c r="E28" s="44" t="s">
        <v>4380</v>
      </c>
      <c r="F28" s="44" t="s">
        <v>4445</v>
      </c>
    </row>
    <row r="29" spans="1:6">
      <c r="A29" s="44" t="s">
        <v>4379</v>
      </c>
      <c r="B29" s="44" t="s">
        <v>1750</v>
      </c>
      <c r="C29" s="44" t="s">
        <v>4035</v>
      </c>
      <c r="D29" s="44" t="s">
        <v>852</v>
      </c>
      <c r="E29" s="44" t="s">
        <v>4382</v>
      </c>
      <c r="F29" s="44" t="s">
        <v>4446</v>
      </c>
    </row>
    <row r="30" spans="1:6">
      <c r="A30" s="44" t="s">
        <v>4379</v>
      </c>
      <c r="B30" s="44" t="s">
        <v>1750</v>
      </c>
      <c r="C30" s="44" t="s">
        <v>4040</v>
      </c>
      <c r="D30" s="44" t="s">
        <v>875</v>
      </c>
      <c r="E30" s="44" t="s">
        <v>4382</v>
      </c>
      <c r="F30" s="44" t="s">
        <v>4446</v>
      </c>
    </row>
    <row r="31" spans="1:6">
      <c r="A31" s="44" t="s">
        <v>4379</v>
      </c>
      <c r="B31" s="44" t="s">
        <v>1750</v>
      </c>
      <c r="C31" s="44" t="s">
        <v>4045</v>
      </c>
      <c r="D31" s="43" t="s">
        <v>3931</v>
      </c>
      <c r="E31" s="44" t="s">
        <v>4382</v>
      </c>
      <c r="F31" s="44" t="s">
        <v>4446</v>
      </c>
    </row>
    <row r="32" spans="1:6">
      <c r="A32" s="44" t="s">
        <v>4379</v>
      </c>
      <c r="B32" s="44" t="s">
        <v>4447</v>
      </c>
      <c r="C32" s="44" t="s">
        <v>4054</v>
      </c>
      <c r="D32" s="44" t="s">
        <v>432</v>
      </c>
      <c r="E32" s="44" t="s">
        <v>4380</v>
      </c>
      <c r="F32" s="44" t="s">
        <v>4448</v>
      </c>
    </row>
    <row r="33" spans="1:6">
      <c r="A33" s="44" t="s">
        <v>4379</v>
      </c>
      <c r="B33" s="44" t="s">
        <v>4449</v>
      </c>
      <c r="C33" s="44" t="s">
        <v>4271</v>
      </c>
      <c r="D33" s="44" t="s">
        <v>444</v>
      </c>
      <c r="E33" s="44" t="s">
        <v>4382</v>
      </c>
      <c r="F33" s="44" t="s">
        <v>4450</v>
      </c>
    </row>
    <row r="34" spans="1:6">
      <c r="A34" s="44" t="s">
        <v>4379</v>
      </c>
      <c r="B34" s="44" t="s">
        <v>4449</v>
      </c>
      <c r="C34" s="44" t="s">
        <v>4256</v>
      </c>
      <c r="D34" s="44" t="s">
        <v>444</v>
      </c>
      <c r="E34" s="44" t="s">
        <v>4382</v>
      </c>
      <c r="F34" s="44" t="s">
        <v>4450</v>
      </c>
    </row>
    <row r="35" spans="1:6">
      <c r="A35" s="44" t="s">
        <v>4379</v>
      </c>
      <c r="B35" s="44" t="s">
        <v>4451</v>
      </c>
      <c r="C35" s="44" t="s">
        <v>4059</v>
      </c>
      <c r="D35" s="44" t="s">
        <v>447</v>
      </c>
      <c r="E35" s="44" t="s">
        <v>4380</v>
      </c>
      <c r="F35" s="44" t="s">
        <v>4452</v>
      </c>
    </row>
    <row r="36" spans="1:6">
      <c r="A36" s="44" t="s">
        <v>4379</v>
      </c>
      <c r="B36" s="44" t="s">
        <v>4453</v>
      </c>
      <c r="C36" s="44" t="s">
        <v>4060</v>
      </c>
      <c r="D36" s="44" t="s">
        <v>450</v>
      </c>
      <c r="E36" s="44" t="s">
        <v>4380</v>
      </c>
      <c r="F36" s="44" t="s">
        <v>4454</v>
      </c>
    </row>
    <row r="37" spans="1:6">
      <c r="A37" s="44" t="s">
        <v>4379</v>
      </c>
      <c r="B37" s="44" t="s">
        <v>4455</v>
      </c>
      <c r="C37" s="44" t="s">
        <v>4081</v>
      </c>
      <c r="D37" s="44" t="s">
        <v>513</v>
      </c>
      <c r="E37" s="44" t="s">
        <v>4380</v>
      </c>
      <c r="F37" s="44" t="s">
        <v>4456</v>
      </c>
    </row>
    <row r="38" spans="1:6">
      <c r="A38" s="44" t="s">
        <v>4379</v>
      </c>
      <c r="B38" s="44" t="s">
        <v>4457</v>
      </c>
      <c r="C38" s="36" t="s">
        <v>543</v>
      </c>
      <c r="D38" s="43" t="s">
        <v>543</v>
      </c>
      <c r="E38" s="44" t="s">
        <v>4380</v>
      </c>
      <c r="F38" s="44" t="s">
        <v>4458</v>
      </c>
    </row>
    <row r="39" spans="1:6">
      <c r="A39" s="44" t="s">
        <v>4379</v>
      </c>
      <c r="B39" s="44" t="s">
        <v>4459</v>
      </c>
      <c r="C39" s="36" t="s">
        <v>543</v>
      </c>
      <c r="D39" s="43" t="s">
        <v>543</v>
      </c>
      <c r="E39" s="44" t="s">
        <v>4380</v>
      </c>
      <c r="F39" s="44" t="s">
        <v>4460</v>
      </c>
    </row>
    <row r="40" spans="1:6">
      <c r="A40" s="44" t="s">
        <v>4379</v>
      </c>
      <c r="B40" s="44" t="s">
        <v>4461</v>
      </c>
      <c r="C40" s="36" t="s">
        <v>543</v>
      </c>
      <c r="D40" s="43" t="s">
        <v>543</v>
      </c>
      <c r="E40" s="44" t="s">
        <v>4380</v>
      </c>
      <c r="F40" s="44" t="s">
        <v>4462</v>
      </c>
    </row>
    <row r="41" spans="1:6">
      <c r="A41" s="44" t="s">
        <v>4379</v>
      </c>
      <c r="B41" s="44" t="s">
        <v>4463</v>
      </c>
      <c r="C41" s="44" t="s">
        <v>4370</v>
      </c>
      <c r="D41" s="44" t="s">
        <v>551</v>
      </c>
      <c r="E41" s="44" t="s">
        <v>4380</v>
      </c>
      <c r="F41" s="44" t="s">
        <v>4464</v>
      </c>
    </row>
    <row r="42" spans="1:6">
      <c r="A42" s="44" t="s">
        <v>4379</v>
      </c>
      <c r="B42" s="44" t="s">
        <v>4465</v>
      </c>
      <c r="C42" s="44" t="s">
        <v>4370</v>
      </c>
      <c r="D42" s="44" t="s">
        <v>551</v>
      </c>
      <c r="E42" s="44" t="s">
        <v>4380</v>
      </c>
      <c r="F42" s="44" t="s">
        <v>4470</v>
      </c>
    </row>
    <row r="43" spans="1:6">
      <c r="A43" s="44" t="s">
        <v>4379</v>
      </c>
      <c r="B43" s="44" t="s">
        <v>4466</v>
      </c>
      <c r="C43" s="44" t="s">
        <v>555</v>
      </c>
      <c r="D43" s="44" t="s">
        <v>555</v>
      </c>
      <c r="E43" s="44" t="s">
        <v>4380</v>
      </c>
      <c r="F43" s="44" t="s">
        <v>4467</v>
      </c>
    </row>
    <row r="44" spans="1:6" ht="96.6">
      <c r="A44" s="44" t="s">
        <v>4379</v>
      </c>
      <c r="B44" s="44" t="s">
        <v>4471</v>
      </c>
      <c r="C44" s="44" t="s">
        <v>4367</v>
      </c>
      <c r="D44" s="44" t="s">
        <v>4112</v>
      </c>
      <c r="E44" s="44" t="s">
        <v>4380</v>
      </c>
      <c r="F44" s="44" t="s">
        <v>4472</v>
      </c>
    </row>
    <row r="45" spans="1:6" ht="96.6">
      <c r="A45" s="44" t="s">
        <v>4379</v>
      </c>
      <c r="B45" s="44" t="s">
        <v>4473</v>
      </c>
      <c r="C45" s="44" t="s">
        <v>4367</v>
      </c>
      <c r="D45" s="44" t="s">
        <v>4112</v>
      </c>
      <c r="E45" s="44" t="s">
        <v>4380</v>
      </c>
      <c r="F45" s="44" t="s">
        <v>4472</v>
      </c>
    </row>
    <row r="46" spans="1:6" ht="96.6">
      <c r="A46" s="44" t="s">
        <v>4379</v>
      </c>
      <c r="B46" s="44" t="s">
        <v>4474</v>
      </c>
      <c r="C46" s="44" t="s">
        <v>4367</v>
      </c>
      <c r="D46" s="44" t="s">
        <v>4112</v>
      </c>
      <c r="E46" s="44" t="s">
        <v>4380</v>
      </c>
      <c r="F46" s="44" t="s">
        <v>4472</v>
      </c>
    </row>
    <row r="47" spans="1:6" ht="96.6">
      <c r="A47" s="44" t="s">
        <v>4379</v>
      </c>
      <c r="B47" s="44" t="s">
        <v>4475</v>
      </c>
      <c r="C47" s="44" t="s">
        <v>4367</v>
      </c>
      <c r="D47" s="44" t="s">
        <v>4112</v>
      </c>
      <c r="E47" s="44" t="s">
        <v>4380</v>
      </c>
      <c r="F47" s="44" t="s">
        <v>4472</v>
      </c>
    </row>
    <row r="48" spans="1:6" ht="96.6">
      <c r="A48" s="44" t="s">
        <v>4379</v>
      </c>
      <c r="B48" s="44" t="s">
        <v>4476</v>
      </c>
      <c r="C48" s="44" t="s">
        <v>4367</v>
      </c>
      <c r="D48" s="44" t="s">
        <v>4112</v>
      </c>
      <c r="E48" s="44" t="s">
        <v>4380</v>
      </c>
      <c r="F48" s="44" t="s">
        <v>4472</v>
      </c>
    </row>
    <row r="49" spans="1:6" ht="96.6">
      <c r="A49" s="44" t="s">
        <v>4379</v>
      </c>
      <c r="B49" s="44" t="s">
        <v>4477</v>
      </c>
      <c r="C49" s="44" t="s">
        <v>4367</v>
      </c>
      <c r="D49" s="44" t="s">
        <v>4112</v>
      </c>
      <c r="E49" s="44" t="s">
        <v>4380</v>
      </c>
      <c r="F49" s="44" t="s">
        <v>4472</v>
      </c>
    </row>
    <row r="50" spans="1:6" ht="96.6">
      <c r="A50" s="44" t="s">
        <v>4379</v>
      </c>
      <c r="B50" s="44" t="s">
        <v>4478</v>
      </c>
      <c r="C50" s="44" t="s">
        <v>4367</v>
      </c>
      <c r="D50" s="44" t="s">
        <v>4112</v>
      </c>
      <c r="E50" s="44" t="s">
        <v>4380</v>
      </c>
      <c r="F50" s="44" t="s">
        <v>4472</v>
      </c>
    </row>
    <row r="51" spans="1:6" ht="96.6">
      <c r="A51" s="44" t="s">
        <v>4379</v>
      </c>
      <c r="B51" s="44" t="s">
        <v>4479</v>
      </c>
      <c r="C51" s="44" t="s">
        <v>4367</v>
      </c>
      <c r="D51" s="44" t="s">
        <v>4112</v>
      </c>
      <c r="E51" s="44" t="s">
        <v>4380</v>
      </c>
      <c r="F51" s="44" t="s">
        <v>4472</v>
      </c>
    </row>
    <row r="52" spans="1:6" ht="96.6">
      <c r="A52" s="44" t="s">
        <v>4379</v>
      </c>
      <c r="B52" s="44" t="s">
        <v>4480</v>
      </c>
      <c r="C52" s="44" t="s">
        <v>4367</v>
      </c>
      <c r="D52" s="44" t="s">
        <v>4112</v>
      </c>
      <c r="E52" s="44" t="s">
        <v>4380</v>
      </c>
      <c r="F52" s="44" t="s">
        <v>4472</v>
      </c>
    </row>
    <row r="53" spans="1:6" ht="96.6">
      <c r="A53" s="44" t="s">
        <v>4379</v>
      </c>
      <c r="B53" s="44" t="s">
        <v>4481</v>
      </c>
      <c r="C53" s="44" t="s">
        <v>4367</v>
      </c>
      <c r="D53" s="44" t="s">
        <v>4112</v>
      </c>
      <c r="E53" s="44" t="s">
        <v>4380</v>
      </c>
      <c r="F53" s="44" t="s">
        <v>4472</v>
      </c>
    </row>
    <row r="54" spans="1:6" ht="96.6">
      <c r="A54" s="44" t="s">
        <v>4379</v>
      </c>
      <c r="B54" s="44" t="s">
        <v>4482</v>
      </c>
      <c r="C54" s="44" t="s">
        <v>4367</v>
      </c>
      <c r="D54" s="44" t="s">
        <v>4112</v>
      </c>
      <c r="E54" s="44" t="s">
        <v>4380</v>
      </c>
      <c r="F54" s="44" t="s">
        <v>4472</v>
      </c>
    </row>
    <row r="55" spans="1:6" ht="96.6">
      <c r="A55" s="44" t="s">
        <v>4379</v>
      </c>
      <c r="B55" s="44" t="s">
        <v>4483</v>
      </c>
      <c r="C55" s="44" t="s">
        <v>4367</v>
      </c>
      <c r="D55" s="44" t="s">
        <v>4112</v>
      </c>
      <c r="E55" s="44" t="s">
        <v>4380</v>
      </c>
      <c r="F55" s="44" t="s">
        <v>4472</v>
      </c>
    </row>
    <row r="56" spans="1:6" ht="96.6">
      <c r="A56" s="44" t="s">
        <v>4379</v>
      </c>
      <c r="B56" s="44" t="s">
        <v>4484</v>
      </c>
      <c r="C56" s="44" t="s">
        <v>4367</v>
      </c>
      <c r="D56" s="44" t="s">
        <v>4112</v>
      </c>
      <c r="E56" s="44" t="s">
        <v>4380</v>
      </c>
      <c r="F56" s="44" t="s">
        <v>4472</v>
      </c>
    </row>
    <row r="57" spans="1:6" ht="96.6">
      <c r="A57" s="44" t="s">
        <v>4379</v>
      </c>
      <c r="B57" s="44" t="s">
        <v>4485</v>
      </c>
      <c r="C57" s="44" t="s">
        <v>4367</v>
      </c>
      <c r="D57" s="44" t="s">
        <v>4112</v>
      </c>
      <c r="E57" s="44" t="s">
        <v>4380</v>
      </c>
      <c r="F57" s="44" t="s">
        <v>4472</v>
      </c>
    </row>
    <row r="58" spans="1:6" ht="96.6">
      <c r="A58" s="44" t="s">
        <v>4379</v>
      </c>
      <c r="B58" s="44" t="s">
        <v>4486</v>
      </c>
      <c r="C58" s="44" t="s">
        <v>4367</v>
      </c>
      <c r="D58" s="44" t="s">
        <v>4112</v>
      </c>
      <c r="E58" s="44" t="s">
        <v>4380</v>
      </c>
      <c r="F58" s="44" t="s">
        <v>4472</v>
      </c>
    </row>
    <row r="59" spans="1:6" ht="96.6">
      <c r="A59" s="44" t="s">
        <v>4379</v>
      </c>
      <c r="B59" s="44" t="s">
        <v>4487</v>
      </c>
      <c r="C59" s="44" t="s">
        <v>4367</v>
      </c>
      <c r="D59" s="44" t="s">
        <v>4112</v>
      </c>
      <c r="E59" s="44" t="s">
        <v>4380</v>
      </c>
      <c r="F59" s="44" t="s">
        <v>4472</v>
      </c>
    </row>
    <row r="60" spans="1:6" ht="96.6">
      <c r="A60" s="44" t="s">
        <v>4379</v>
      </c>
      <c r="B60" s="44" t="s">
        <v>4488</v>
      </c>
      <c r="C60" s="44" t="s">
        <v>4367</v>
      </c>
      <c r="D60" s="44" t="s">
        <v>4112</v>
      </c>
      <c r="E60" s="44" t="s">
        <v>4380</v>
      </c>
      <c r="F60" s="44" t="s">
        <v>4472</v>
      </c>
    </row>
    <row r="61" spans="1:6" ht="96.6">
      <c r="A61" s="44" t="s">
        <v>4379</v>
      </c>
      <c r="B61" s="44" t="s">
        <v>4489</v>
      </c>
      <c r="C61" s="44" t="s">
        <v>4367</v>
      </c>
      <c r="D61" s="44" t="s">
        <v>4112</v>
      </c>
      <c r="E61" s="44" t="s">
        <v>4380</v>
      </c>
      <c r="F61" s="44" t="s">
        <v>4472</v>
      </c>
    </row>
    <row r="62" spans="1:6" ht="96.6">
      <c r="A62" s="44" t="s">
        <v>4379</v>
      </c>
      <c r="B62" s="44" t="s">
        <v>4490</v>
      </c>
      <c r="C62" s="44" t="s">
        <v>4367</v>
      </c>
      <c r="D62" s="44" t="s">
        <v>4112</v>
      </c>
      <c r="E62" s="44" t="s">
        <v>4380</v>
      </c>
      <c r="F62" s="44" t="s">
        <v>4472</v>
      </c>
    </row>
    <row r="63" spans="1:6" ht="96.6">
      <c r="A63" s="44" t="s">
        <v>4379</v>
      </c>
      <c r="B63" s="44" t="s">
        <v>4491</v>
      </c>
      <c r="C63" s="44" t="s">
        <v>4367</v>
      </c>
      <c r="D63" s="44" t="s">
        <v>4112</v>
      </c>
      <c r="E63" s="44" t="s">
        <v>4380</v>
      </c>
      <c r="F63" s="44" t="s">
        <v>4472</v>
      </c>
    </row>
    <row r="64" spans="1:6" ht="96.6">
      <c r="A64" s="44" t="s">
        <v>4379</v>
      </c>
      <c r="B64" s="44" t="s">
        <v>4492</v>
      </c>
      <c r="C64" s="44" t="s">
        <v>4367</v>
      </c>
      <c r="D64" s="44" t="s">
        <v>4112</v>
      </c>
      <c r="E64" s="44" t="s">
        <v>4380</v>
      </c>
      <c r="F64" s="44" t="s">
        <v>4472</v>
      </c>
    </row>
    <row r="65" spans="1:6" ht="96.6">
      <c r="A65" s="44" t="s">
        <v>4379</v>
      </c>
      <c r="B65" s="44" t="s">
        <v>4493</v>
      </c>
      <c r="C65" s="44" t="s">
        <v>4367</v>
      </c>
      <c r="D65" s="44" t="s">
        <v>4112</v>
      </c>
      <c r="E65" s="44" t="s">
        <v>4380</v>
      </c>
      <c r="F65" s="44" t="s">
        <v>4472</v>
      </c>
    </row>
    <row r="66" spans="1:6" ht="96.6">
      <c r="A66" s="44" t="s">
        <v>4379</v>
      </c>
      <c r="B66" s="44" t="s">
        <v>4494</v>
      </c>
      <c r="C66" s="44" t="s">
        <v>4367</v>
      </c>
      <c r="D66" s="44" t="s">
        <v>4112</v>
      </c>
      <c r="E66" s="44" t="s">
        <v>4380</v>
      </c>
      <c r="F66" s="44" t="s">
        <v>4472</v>
      </c>
    </row>
    <row r="67" spans="1:6" ht="96.6">
      <c r="A67" s="44" t="s">
        <v>4379</v>
      </c>
      <c r="B67" s="44" t="s">
        <v>4495</v>
      </c>
      <c r="C67" s="44" t="s">
        <v>4367</v>
      </c>
      <c r="D67" s="44" t="s">
        <v>4112</v>
      </c>
      <c r="E67" s="44" t="s">
        <v>4380</v>
      </c>
      <c r="F67" s="44" t="s">
        <v>4472</v>
      </c>
    </row>
    <row r="68" spans="1:6" ht="96.6">
      <c r="A68" s="44" t="s">
        <v>4379</v>
      </c>
      <c r="B68" s="44" t="s">
        <v>4496</v>
      </c>
      <c r="C68" s="44" t="s">
        <v>4367</v>
      </c>
      <c r="D68" s="44" t="s">
        <v>4112</v>
      </c>
      <c r="E68" s="44" t="s">
        <v>4380</v>
      </c>
      <c r="F68" s="44" t="s">
        <v>4472</v>
      </c>
    </row>
    <row r="69" spans="1:6" ht="96.6">
      <c r="A69" s="44" t="s">
        <v>4379</v>
      </c>
      <c r="B69" s="44" t="s">
        <v>4497</v>
      </c>
      <c r="C69" s="44" t="s">
        <v>4367</v>
      </c>
      <c r="D69" s="44" t="s">
        <v>4112</v>
      </c>
      <c r="E69" s="44" t="s">
        <v>4380</v>
      </c>
      <c r="F69" s="44" t="s">
        <v>4472</v>
      </c>
    </row>
    <row r="70" spans="1:6" ht="96.6">
      <c r="A70" s="44" t="s">
        <v>4379</v>
      </c>
      <c r="B70" s="44" t="s">
        <v>4498</v>
      </c>
      <c r="C70" s="44" t="s">
        <v>4367</v>
      </c>
      <c r="D70" s="44" t="s">
        <v>4112</v>
      </c>
      <c r="E70" s="44" t="s">
        <v>4380</v>
      </c>
      <c r="F70" s="44" t="s">
        <v>4472</v>
      </c>
    </row>
    <row r="71" spans="1:6" ht="96.6">
      <c r="A71" s="44" t="s">
        <v>4379</v>
      </c>
      <c r="B71" s="44" t="s">
        <v>4499</v>
      </c>
      <c r="C71" s="44" t="s">
        <v>4367</v>
      </c>
      <c r="D71" s="44" t="s">
        <v>4112</v>
      </c>
      <c r="E71" s="44" t="s">
        <v>4380</v>
      </c>
      <c r="F71" s="44" t="s">
        <v>4472</v>
      </c>
    </row>
    <row r="72" spans="1:6" ht="96.6">
      <c r="A72" s="44" t="s">
        <v>4379</v>
      </c>
      <c r="B72" s="44" t="s">
        <v>4500</v>
      </c>
      <c r="C72" s="44" t="s">
        <v>4367</v>
      </c>
      <c r="D72" s="44" t="s">
        <v>4112</v>
      </c>
      <c r="E72" s="44" t="s">
        <v>4380</v>
      </c>
      <c r="F72" s="44" t="s">
        <v>4472</v>
      </c>
    </row>
    <row r="73" spans="1:6" ht="96.6">
      <c r="A73" s="44" t="s">
        <v>4379</v>
      </c>
      <c r="B73" s="44" t="s">
        <v>4501</v>
      </c>
      <c r="C73" s="44" t="s">
        <v>4367</v>
      </c>
      <c r="D73" s="44" t="s">
        <v>4112</v>
      </c>
      <c r="E73" s="44" t="s">
        <v>4380</v>
      </c>
      <c r="F73" s="44" t="s">
        <v>4472</v>
      </c>
    </row>
    <row r="74" spans="1:6" ht="96.6">
      <c r="A74" s="44" t="s">
        <v>4379</v>
      </c>
      <c r="B74" s="44" t="s">
        <v>4502</v>
      </c>
      <c r="C74" s="44" t="s">
        <v>4367</v>
      </c>
      <c r="D74" s="44" t="s">
        <v>4112</v>
      </c>
      <c r="E74" s="44" t="s">
        <v>4380</v>
      </c>
      <c r="F74" s="44" t="s">
        <v>4472</v>
      </c>
    </row>
    <row r="75" spans="1:6" ht="96.6">
      <c r="A75" s="44" t="s">
        <v>4379</v>
      </c>
      <c r="B75" s="44" t="s">
        <v>4503</v>
      </c>
      <c r="C75" s="44" t="s">
        <v>4367</v>
      </c>
      <c r="D75" s="44" t="s">
        <v>4112</v>
      </c>
      <c r="E75" s="44" t="s">
        <v>4380</v>
      </c>
      <c r="F75" s="44" t="s">
        <v>4472</v>
      </c>
    </row>
    <row r="76" spans="1:6" ht="96.6">
      <c r="A76" s="44" t="s">
        <v>4379</v>
      </c>
      <c r="B76" s="44" t="s">
        <v>4504</v>
      </c>
      <c r="C76" s="44" t="s">
        <v>4367</v>
      </c>
      <c r="D76" s="44" t="s">
        <v>4112</v>
      </c>
      <c r="E76" s="44" t="s">
        <v>4380</v>
      </c>
      <c r="F76" s="44" t="s">
        <v>4472</v>
      </c>
    </row>
    <row r="77" spans="1:6" ht="96.6">
      <c r="A77" s="44" t="s">
        <v>4379</v>
      </c>
      <c r="B77" s="44" t="s">
        <v>4505</v>
      </c>
      <c r="C77" s="44" t="s">
        <v>4367</v>
      </c>
      <c r="D77" s="44" t="s">
        <v>4112</v>
      </c>
      <c r="E77" s="44" t="s">
        <v>4380</v>
      </c>
      <c r="F77" s="44" t="s">
        <v>4472</v>
      </c>
    </row>
    <row r="78" spans="1:6" ht="96.6">
      <c r="A78" s="44" t="s">
        <v>4379</v>
      </c>
      <c r="B78" s="44" t="s">
        <v>4506</v>
      </c>
      <c r="C78" s="44" t="s">
        <v>4367</v>
      </c>
      <c r="D78" s="44" t="s">
        <v>4112</v>
      </c>
      <c r="E78" s="44" t="s">
        <v>4380</v>
      </c>
      <c r="F78" s="44" t="s">
        <v>4472</v>
      </c>
    </row>
    <row r="79" spans="1:6" ht="96.6">
      <c r="A79" s="44" t="s">
        <v>4379</v>
      </c>
      <c r="B79" s="44" t="s">
        <v>4507</v>
      </c>
      <c r="C79" s="44" t="s">
        <v>4367</v>
      </c>
      <c r="D79" s="44" t="s">
        <v>4112</v>
      </c>
      <c r="E79" s="44" t="s">
        <v>4380</v>
      </c>
      <c r="F79" s="44" t="s">
        <v>4472</v>
      </c>
    </row>
    <row r="80" spans="1:6" ht="96.6">
      <c r="A80" s="44" t="s">
        <v>4379</v>
      </c>
      <c r="B80" s="44" t="s">
        <v>1644</v>
      </c>
      <c r="C80" s="44" t="s">
        <v>4367</v>
      </c>
      <c r="D80" s="44" t="s">
        <v>4112</v>
      </c>
      <c r="E80" s="44" t="s">
        <v>4380</v>
      </c>
      <c r="F80" s="44" t="s">
        <v>4472</v>
      </c>
    </row>
    <row r="81" spans="1:6">
      <c r="A81" s="44" t="s">
        <v>4379</v>
      </c>
      <c r="B81" s="44" t="s">
        <v>688</v>
      </c>
      <c r="C81" s="44" t="s">
        <v>557</v>
      </c>
      <c r="D81" s="44" t="s">
        <v>557</v>
      </c>
      <c r="E81" s="44" t="s">
        <v>4381</v>
      </c>
      <c r="F81" s="44" t="s">
        <v>4508</v>
      </c>
    </row>
    <row r="82" spans="1:6">
      <c r="A82" s="44" t="s">
        <v>4379</v>
      </c>
      <c r="B82" s="44" t="s">
        <v>4509</v>
      </c>
      <c r="C82" s="44" t="s">
        <v>557</v>
      </c>
      <c r="D82" s="44" t="s">
        <v>557</v>
      </c>
      <c r="E82" s="44" t="s">
        <v>4381</v>
      </c>
      <c r="F82" s="44" t="s">
        <v>4508</v>
      </c>
    </row>
    <row r="83" spans="1:6">
      <c r="A83" s="44" t="s">
        <v>4379</v>
      </c>
      <c r="B83" s="44" t="s">
        <v>1749</v>
      </c>
      <c r="C83" s="44" t="s">
        <v>557</v>
      </c>
      <c r="D83" s="44" t="s">
        <v>557</v>
      </c>
      <c r="E83" s="44" t="s">
        <v>4381</v>
      </c>
      <c r="F83" s="44" t="s">
        <v>4508</v>
      </c>
    </row>
    <row r="84" spans="1:6">
      <c r="A84" s="44" t="s">
        <v>4379</v>
      </c>
      <c r="B84" s="44" t="s">
        <v>1751</v>
      </c>
      <c r="C84" s="44" t="s">
        <v>557</v>
      </c>
      <c r="D84" s="44" t="s">
        <v>557</v>
      </c>
      <c r="E84" s="44" t="s">
        <v>4381</v>
      </c>
      <c r="F84" s="44" t="s">
        <v>4508</v>
      </c>
    </row>
    <row r="85" spans="1:6">
      <c r="A85" s="44" t="s">
        <v>4379</v>
      </c>
      <c r="B85" s="44" t="s">
        <v>4510</v>
      </c>
      <c r="C85" s="44" t="s">
        <v>557</v>
      </c>
      <c r="D85" s="44" t="s">
        <v>557</v>
      </c>
      <c r="E85" s="44" t="s">
        <v>4381</v>
      </c>
      <c r="F85" s="44" t="s">
        <v>4508</v>
      </c>
    </row>
    <row r="86" spans="1:6">
      <c r="A86" s="44" t="s">
        <v>4379</v>
      </c>
      <c r="B86" s="44" t="s">
        <v>4511</v>
      </c>
      <c r="C86" s="44" t="s">
        <v>557</v>
      </c>
      <c r="D86" s="44" t="s">
        <v>557</v>
      </c>
      <c r="E86" s="44" t="s">
        <v>4381</v>
      </c>
      <c r="F86" s="44" t="s">
        <v>4508</v>
      </c>
    </row>
    <row r="87" spans="1:6">
      <c r="A87" s="44" t="s">
        <v>4379</v>
      </c>
      <c r="B87" s="44" t="s">
        <v>4512</v>
      </c>
      <c r="C87" s="44" t="s">
        <v>557</v>
      </c>
      <c r="D87" s="44" t="s">
        <v>557</v>
      </c>
      <c r="E87" s="44" t="s">
        <v>4381</v>
      </c>
      <c r="F87" s="44" t="s">
        <v>4508</v>
      </c>
    </row>
    <row r="88" spans="1:6">
      <c r="A88" s="44" t="s">
        <v>4379</v>
      </c>
      <c r="B88" s="44" t="s">
        <v>4513</v>
      </c>
      <c r="C88" s="44" t="s">
        <v>557</v>
      </c>
      <c r="D88" s="44" t="s">
        <v>557</v>
      </c>
      <c r="E88" s="44" t="s">
        <v>4381</v>
      </c>
      <c r="F88" s="44" t="s">
        <v>4508</v>
      </c>
    </row>
    <row r="89" spans="1:6">
      <c r="A89" s="44" t="s">
        <v>4379</v>
      </c>
      <c r="B89" s="44" t="s">
        <v>4514</v>
      </c>
      <c r="C89" s="44" t="s">
        <v>557</v>
      </c>
      <c r="D89" s="44" t="s">
        <v>557</v>
      </c>
      <c r="E89" s="44" t="s">
        <v>4381</v>
      </c>
      <c r="F89" s="44" t="s">
        <v>4508</v>
      </c>
    </row>
    <row r="90" spans="1:6">
      <c r="A90" s="44" t="s">
        <v>4379</v>
      </c>
      <c r="B90" s="44" t="s">
        <v>4515</v>
      </c>
      <c r="C90" s="44" t="s">
        <v>557</v>
      </c>
      <c r="D90" s="44" t="s">
        <v>557</v>
      </c>
      <c r="E90" s="44" t="s">
        <v>4381</v>
      </c>
      <c r="F90" s="44" t="s">
        <v>4508</v>
      </c>
    </row>
    <row r="91" spans="1:6">
      <c r="A91" s="44" t="s">
        <v>4379</v>
      </c>
      <c r="B91" s="44" t="s">
        <v>4516</v>
      </c>
      <c r="C91" s="44" t="s">
        <v>557</v>
      </c>
      <c r="D91" s="44" t="s">
        <v>557</v>
      </c>
      <c r="E91" s="44" t="s">
        <v>4381</v>
      </c>
      <c r="F91" s="44" t="s">
        <v>4508</v>
      </c>
    </row>
    <row r="92" spans="1:6">
      <c r="A92" s="44" t="s">
        <v>4379</v>
      </c>
      <c r="B92" s="44" t="s">
        <v>4517</v>
      </c>
      <c r="C92" s="44" t="s">
        <v>557</v>
      </c>
      <c r="D92" s="44" t="s">
        <v>557</v>
      </c>
      <c r="E92" s="44" t="s">
        <v>4381</v>
      </c>
      <c r="F92" s="44" t="s">
        <v>4508</v>
      </c>
    </row>
    <row r="93" spans="1:6">
      <c r="A93" s="44" t="s">
        <v>4379</v>
      </c>
      <c r="B93" s="44" t="s">
        <v>4469</v>
      </c>
      <c r="C93" s="44" t="s">
        <v>557</v>
      </c>
      <c r="D93" s="44" t="s">
        <v>557</v>
      </c>
      <c r="E93" s="44" t="s">
        <v>4381</v>
      </c>
      <c r="F93" s="44" t="s">
        <v>4508</v>
      </c>
    </row>
    <row r="94" spans="1:6">
      <c r="A94" s="44" t="s">
        <v>4379</v>
      </c>
      <c r="B94" s="44" t="s">
        <v>4518</v>
      </c>
      <c r="C94" s="44" t="s">
        <v>557</v>
      </c>
      <c r="D94" s="44" t="s">
        <v>557</v>
      </c>
      <c r="E94" s="44" t="s">
        <v>4381</v>
      </c>
      <c r="F94" s="44" t="s">
        <v>4508</v>
      </c>
    </row>
    <row r="95" spans="1:6">
      <c r="A95" s="44" t="s">
        <v>4379</v>
      </c>
      <c r="B95" s="44" t="s">
        <v>4519</v>
      </c>
      <c r="C95" s="44" t="s">
        <v>557</v>
      </c>
      <c r="D95" s="44" t="s">
        <v>557</v>
      </c>
      <c r="E95" s="44" t="s">
        <v>4381</v>
      </c>
      <c r="F95" s="44" t="s">
        <v>4508</v>
      </c>
    </row>
    <row r="96" spans="1:6">
      <c r="A96" s="44" t="s">
        <v>4379</v>
      </c>
      <c r="B96" s="44" t="s">
        <v>4520</v>
      </c>
      <c r="C96" s="44" t="s">
        <v>557</v>
      </c>
      <c r="D96" s="44" t="s">
        <v>557</v>
      </c>
      <c r="E96" s="44" t="s">
        <v>4381</v>
      </c>
      <c r="F96" s="44" t="s">
        <v>4508</v>
      </c>
    </row>
    <row r="97" spans="1:6">
      <c r="A97" s="44" t="s">
        <v>4379</v>
      </c>
      <c r="B97" s="44" t="s">
        <v>4521</v>
      </c>
      <c r="C97" s="44" t="s">
        <v>557</v>
      </c>
      <c r="D97" s="44" t="s">
        <v>557</v>
      </c>
      <c r="E97" s="44" t="s">
        <v>4381</v>
      </c>
      <c r="F97" s="44" t="s">
        <v>4508</v>
      </c>
    </row>
    <row r="98" spans="1:6">
      <c r="A98" s="44" t="s">
        <v>4383</v>
      </c>
      <c r="B98" s="44" t="s">
        <v>688</v>
      </c>
      <c r="C98" s="44" t="s">
        <v>553</v>
      </c>
      <c r="D98" s="44" t="s">
        <v>553</v>
      </c>
      <c r="E98" s="44" t="s">
        <v>4380</v>
      </c>
      <c r="F98" s="44" t="s">
        <v>4468</v>
      </c>
    </row>
    <row r="99" spans="1:6">
      <c r="A99" s="44" t="s">
        <v>4383</v>
      </c>
      <c r="B99" s="44" t="s">
        <v>4466</v>
      </c>
      <c r="C99" s="44" t="s">
        <v>3562</v>
      </c>
      <c r="D99" s="44" t="s">
        <v>3562</v>
      </c>
      <c r="E99" s="44" t="s">
        <v>4380</v>
      </c>
      <c r="F99" s="44" t="s">
        <v>4522</v>
      </c>
    </row>
    <row r="100" spans="1:6">
      <c r="A100" s="44" t="s">
        <v>4383</v>
      </c>
      <c r="B100" s="44" t="s">
        <v>4509</v>
      </c>
      <c r="C100" s="44" t="s">
        <v>557</v>
      </c>
      <c r="D100" s="44" t="s">
        <v>557</v>
      </c>
      <c r="E100" s="44" t="s">
        <v>4381</v>
      </c>
      <c r="F100" s="44" t="s">
        <v>4523</v>
      </c>
    </row>
    <row r="101" spans="1:6">
      <c r="A101" s="44" t="s">
        <v>4383</v>
      </c>
      <c r="B101" s="44" t="s">
        <v>4403</v>
      </c>
      <c r="C101" s="44" t="s">
        <v>557</v>
      </c>
      <c r="D101" s="44" t="s">
        <v>557</v>
      </c>
      <c r="E101" s="44" t="s">
        <v>4381</v>
      </c>
      <c r="F101" s="44" t="s">
        <v>4523</v>
      </c>
    </row>
    <row r="102" spans="1:6">
      <c r="A102" s="44" t="s">
        <v>4383</v>
      </c>
      <c r="B102" s="44" t="s">
        <v>4405</v>
      </c>
      <c r="C102" s="44" t="s">
        <v>557</v>
      </c>
      <c r="D102" s="44" t="s">
        <v>557</v>
      </c>
      <c r="E102" s="44" t="s">
        <v>4381</v>
      </c>
      <c r="F102" s="44" t="s">
        <v>4523</v>
      </c>
    </row>
    <row r="103" spans="1:6">
      <c r="A103" s="44" t="s">
        <v>4383</v>
      </c>
      <c r="B103" s="44" t="s">
        <v>4407</v>
      </c>
      <c r="C103" s="44" t="s">
        <v>557</v>
      </c>
      <c r="D103" s="44" t="s">
        <v>557</v>
      </c>
      <c r="E103" s="44" t="s">
        <v>4381</v>
      </c>
      <c r="F103" s="44" t="s">
        <v>4523</v>
      </c>
    </row>
    <row r="104" spans="1:6">
      <c r="A104" s="44" t="s">
        <v>4383</v>
      </c>
      <c r="B104" s="44" t="s">
        <v>1745</v>
      </c>
      <c r="C104" s="44" t="s">
        <v>557</v>
      </c>
      <c r="D104" s="44" t="s">
        <v>557</v>
      </c>
      <c r="E104" s="44" t="s">
        <v>4381</v>
      </c>
      <c r="F104" s="44" t="s">
        <v>4523</v>
      </c>
    </row>
    <row r="105" spans="1:6">
      <c r="A105" s="44" t="s">
        <v>4383</v>
      </c>
      <c r="B105" s="44" t="s">
        <v>1749</v>
      </c>
      <c r="C105" s="44" t="s">
        <v>557</v>
      </c>
      <c r="D105" s="44" t="s">
        <v>557</v>
      </c>
      <c r="E105" s="44" t="s">
        <v>4381</v>
      </c>
      <c r="F105" s="44" t="s">
        <v>4523</v>
      </c>
    </row>
    <row r="106" spans="1:6">
      <c r="A106" s="44" t="s">
        <v>4383</v>
      </c>
      <c r="B106" s="44" t="s">
        <v>4410</v>
      </c>
      <c r="C106" s="44" t="s">
        <v>557</v>
      </c>
      <c r="D106" s="44" t="s">
        <v>557</v>
      </c>
      <c r="E106" s="44" t="s">
        <v>4381</v>
      </c>
      <c r="F106" s="44" t="s">
        <v>4523</v>
      </c>
    </row>
    <row r="107" spans="1:6">
      <c r="A107" s="44" t="s">
        <v>4383</v>
      </c>
      <c r="B107" s="44" t="s">
        <v>4412</v>
      </c>
      <c r="C107" s="44" t="s">
        <v>557</v>
      </c>
      <c r="D107" s="44" t="s">
        <v>557</v>
      </c>
      <c r="E107" s="44" t="s">
        <v>4381</v>
      </c>
      <c r="F107" s="44" t="s">
        <v>4523</v>
      </c>
    </row>
    <row r="108" spans="1:6">
      <c r="A108" s="44" t="s">
        <v>4383</v>
      </c>
      <c r="B108" s="44" t="s">
        <v>4414</v>
      </c>
      <c r="C108" s="44" t="s">
        <v>557</v>
      </c>
      <c r="D108" s="44" t="s">
        <v>557</v>
      </c>
      <c r="E108" s="44" t="s">
        <v>4381</v>
      </c>
      <c r="F108" s="44" t="s">
        <v>4523</v>
      </c>
    </row>
    <row r="109" spans="1:6">
      <c r="A109" s="44" t="s">
        <v>4383</v>
      </c>
      <c r="B109" s="44" t="s">
        <v>4416</v>
      </c>
      <c r="C109" s="44" t="s">
        <v>557</v>
      </c>
      <c r="D109" s="44" t="s">
        <v>557</v>
      </c>
      <c r="E109" s="44" t="s">
        <v>4381</v>
      </c>
      <c r="F109" s="44" t="s">
        <v>4523</v>
      </c>
    </row>
    <row r="110" spans="1:6">
      <c r="A110" s="44" t="s">
        <v>4383</v>
      </c>
      <c r="B110" s="44" t="s">
        <v>4418</v>
      </c>
      <c r="C110" s="44" t="s">
        <v>557</v>
      </c>
      <c r="D110" s="44" t="s">
        <v>557</v>
      </c>
      <c r="E110" s="44" t="s">
        <v>4381</v>
      </c>
      <c r="F110" s="44" t="s">
        <v>4523</v>
      </c>
    </row>
    <row r="111" spans="1:6">
      <c r="A111" s="44" t="s">
        <v>4383</v>
      </c>
      <c r="B111" s="44" t="s">
        <v>4420</v>
      </c>
      <c r="C111" s="44" t="s">
        <v>557</v>
      </c>
      <c r="D111" s="44" t="s">
        <v>557</v>
      </c>
      <c r="E111" s="44" t="s">
        <v>4381</v>
      </c>
      <c r="F111" s="44" t="s">
        <v>4523</v>
      </c>
    </row>
    <row r="112" spans="1:6">
      <c r="A112" s="44" t="s">
        <v>4383</v>
      </c>
      <c r="B112" s="44" t="s">
        <v>4422</v>
      </c>
      <c r="C112" s="44" t="s">
        <v>557</v>
      </c>
      <c r="D112" s="44" t="s">
        <v>557</v>
      </c>
      <c r="E112" s="44" t="s">
        <v>4381</v>
      </c>
      <c r="F112" s="44" t="s">
        <v>4523</v>
      </c>
    </row>
    <row r="113" spans="1:6">
      <c r="A113" s="44" t="s">
        <v>4383</v>
      </c>
      <c r="B113" s="44" t="s">
        <v>4424</v>
      </c>
      <c r="C113" s="44" t="s">
        <v>557</v>
      </c>
      <c r="D113" s="44" t="s">
        <v>557</v>
      </c>
      <c r="E113" s="44" t="s">
        <v>4381</v>
      </c>
      <c r="F113" s="44" t="s">
        <v>4523</v>
      </c>
    </row>
    <row r="114" spans="1:6">
      <c r="A114" s="44" t="s">
        <v>4383</v>
      </c>
      <c r="B114" s="44" t="s">
        <v>4426</v>
      </c>
      <c r="C114" s="44" t="s">
        <v>557</v>
      </c>
      <c r="D114" s="44" t="s">
        <v>557</v>
      </c>
      <c r="E114" s="44" t="s">
        <v>4381</v>
      </c>
      <c r="F114" s="44" t="s">
        <v>4523</v>
      </c>
    </row>
    <row r="115" spans="1:6">
      <c r="A115" s="44" t="s">
        <v>4383</v>
      </c>
      <c r="B115" s="44" t="s">
        <v>4428</v>
      </c>
      <c r="C115" s="44" t="s">
        <v>557</v>
      </c>
      <c r="D115" s="44" t="s">
        <v>557</v>
      </c>
      <c r="E115" s="44" t="s">
        <v>4381</v>
      </c>
      <c r="F115" s="44" t="s">
        <v>4523</v>
      </c>
    </row>
    <row r="116" spans="1:6">
      <c r="A116" s="44" t="s">
        <v>4383</v>
      </c>
      <c r="B116" s="44" t="s">
        <v>4430</v>
      </c>
      <c r="C116" s="44" t="s">
        <v>557</v>
      </c>
      <c r="D116" s="44" t="s">
        <v>557</v>
      </c>
      <c r="E116" s="44" t="s">
        <v>4381</v>
      </c>
      <c r="F116" s="44" t="s">
        <v>4523</v>
      </c>
    </row>
    <row r="117" spans="1:6">
      <c r="A117" s="44" t="s">
        <v>4383</v>
      </c>
      <c r="B117" s="44" t="s">
        <v>4432</v>
      </c>
      <c r="C117" s="44" t="s">
        <v>557</v>
      </c>
      <c r="D117" s="44" t="s">
        <v>557</v>
      </c>
      <c r="E117" s="44" t="s">
        <v>4381</v>
      </c>
      <c r="F117" s="44" t="s">
        <v>4523</v>
      </c>
    </row>
    <row r="118" spans="1:6">
      <c r="A118" s="44" t="s">
        <v>4383</v>
      </c>
      <c r="B118" s="44" t="s">
        <v>4434</v>
      </c>
      <c r="C118" s="44" t="s">
        <v>557</v>
      </c>
      <c r="D118" s="44" t="s">
        <v>557</v>
      </c>
      <c r="E118" s="44" t="s">
        <v>4381</v>
      </c>
      <c r="F118" s="44" t="s">
        <v>4523</v>
      </c>
    </row>
    <row r="119" spans="1:6">
      <c r="A119" s="44" t="s">
        <v>4383</v>
      </c>
      <c r="B119" s="44" t="s">
        <v>4436</v>
      </c>
      <c r="C119" s="44" t="s">
        <v>557</v>
      </c>
      <c r="D119" s="44" t="s">
        <v>557</v>
      </c>
      <c r="E119" s="44" t="s">
        <v>4381</v>
      </c>
      <c r="F119" s="44" t="s">
        <v>4523</v>
      </c>
    </row>
    <row r="120" spans="1:6">
      <c r="A120" s="44" t="s">
        <v>4383</v>
      </c>
      <c r="B120" s="44" t="s">
        <v>4438</v>
      </c>
      <c r="C120" s="44" t="s">
        <v>557</v>
      </c>
      <c r="D120" s="44" t="s">
        <v>557</v>
      </c>
      <c r="E120" s="44" t="s">
        <v>4381</v>
      </c>
      <c r="F120" s="44" t="s">
        <v>4523</v>
      </c>
    </row>
    <row r="121" spans="1:6">
      <c r="A121" s="44" t="s">
        <v>4383</v>
      </c>
      <c r="B121" s="44" t="s">
        <v>4440</v>
      </c>
      <c r="C121" s="44" t="s">
        <v>557</v>
      </c>
      <c r="D121" s="44" t="s">
        <v>557</v>
      </c>
      <c r="E121" s="44" t="s">
        <v>4381</v>
      </c>
      <c r="F121" s="44" t="s">
        <v>4523</v>
      </c>
    </row>
    <row r="122" spans="1:6">
      <c r="A122" s="44" t="s">
        <v>4383</v>
      </c>
      <c r="B122" s="44" t="s">
        <v>4442</v>
      </c>
      <c r="C122" s="44" t="s">
        <v>557</v>
      </c>
      <c r="D122" s="44" t="s">
        <v>557</v>
      </c>
      <c r="E122" s="44" t="s">
        <v>4381</v>
      </c>
      <c r="F122" s="44" t="s">
        <v>4523</v>
      </c>
    </row>
    <row r="123" spans="1:6">
      <c r="A123" s="44" t="s">
        <v>4383</v>
      </c>
      <c r="B123" s="44" t="s">
        <v>4444</v>
      </c>
      <c r="C123" s="44" t="s">
        <v>557</v>
      </c>
      <c r="D123" s="44" t="s">
        <v>557</v>
      </c>
      <c r="E123" s="44" t="s">
        <v>4381</v>
      </c>
      <c r="F123" s="44" t="s">
        <v>4523</v>
      </c>
    </row>
    <row r="124" spans="1:6">
      <c r="A124" s="44" t="s">
        <v>4383</v>
      </c>
      <c r="B124" s="44" t="s">
        <v>4471</v>
      </c>
      <c r="C124" s="44" t="s">
        <v>557</v>
      </c>
      <c r="D124" s="44" t="s">
        <v>557</v>
      </c>
      <c r="E124" s="44" t="s">
        <v>4381</v>
      </c>
      <c r="F124" s="44" t="s">
        <v>4523</v>
      </c>
    </row>
    <row r="125" spans="1:6">
      <c r="A125" s="44" t="s">
        <v>4383</v>
      </c>
      <c r="B125" s="44" t="s">
        <v>4463</v>
      </c>
      <c r="C125" s="44" t="s">
        <v>557</v>
      </c>
      <c r="D125" s="44" t="s">
        <v>557</v>
      </c>
      <c r="E125" s="44" t="s">
        <v>4381</v>
      </c>
      <c r="F125" s="44" t="s">
        <v>4523</v>
      </c>
    </row>
    <row r="126" spans="1:6">
      <c r="A126" s="44" t="s">
        <v>4383</v>
      </c>
      <c r="B126" s="44" t="s">
        <v>1750</v>
      </c>
      <c r="C126" s="44" t="s">
        <v>557</v>
      </c>
      <c r="D126" s="44" t="s">
        <v>557</v>
      </c>
      <c r="E126" s="44" t="s">
        <v>4381</v>
      </c>
      <c r="F126" s="44" t="s">
        <v>4523</v>
      </c>
    </row>
    <row r="127" spans="1:6">
      <c r="A127" s="44" t="s">
        <v>4383</v>
      </c>
      <c r="B127" s="44" t="s">
        <v>1751</v>
      </c>
      <c r="C127" s="44" t="s">
        <v>557</v>
      </c>
      <c r="D127" s="44" t="s">
        <v>557</v>
      </c>
      <c r="E127" s="44" t="s">
        <v>4381</v>
      </c>
      <c r="F127" s="44" t="s">
        <v>4523</v>
      </c>
    </row>
    <row r="128" spans="1:6">
      <c r="A128" s="44" t="s">
        <v>4383</v>
      </c>
      <c r="B128" s="44" t="s">
        <v>4473</v>
      </c>
      <c r="C128" s="44" t="s">
        <v>557</v>
      </c>
      <c r="D128" s="44" t="s">
        <v>557</v>
      </c>
      <c r="E128" s="44" t="s">
        <v>4381</v>
      </c>
      <c r="F128" s="44" t="s">
        <v>4523</v>
      </c>
    </row>
    <row r="129" spans="1:6">
      <c r="A129" s="44" t="s">
        <v>4383</v>
      </c>
      <c r="B129" s="44" t="s">
        <v>4474</v>
      </c>
      <c r="C129" s="44" t="s">
        <v>557</v>
      </c>
      <c r="D129" s="44" t="s">
        <v>557</v>
      </c>
      <c r="E129" s="44" t="s">
        <v>4381</v>
      </c>
      <c r="F129" s="44" t="s">
        <v>4523</v>
      </c>
    </row>
    <row r="130" spans="1:6">
      <c r="A130" s="44" t="s">
        <v>4383</v>
      </c>
      <c r="B130" s="44" t="s">
        <v>4447</v>
      </c>
      <c r="C130" s="44" t="s">
        <v>557</v>
      </c>
      <c r="D130" s="44" t="s">
        <v>557</v>
      </c>
      <c r="E130" s="44" t="s">
        <v>4381</v>
      </c>
      <c r="F130" s="44" t="s">
        <v>4523</v>
      </c>
    </row>
    <row r="131" spans="1:6">
      <c r="A131" s="44" t="s">
        <v>4383</v>
      </c>
      <c r="B131" s="44" t="s">
        <v>4510</v>
      </c>
      <c r="C131" s="44" t="s">
        <v>557</v>
      </c>
      <c r="D131" s="44" t="s">
        <v>557</v>
      </c>
      <c r="E131" s="44" t="s">
        <v>4381</v>
      </c>
      <c r="F131" s="44" t="s">
        <v>4523</v>
      </c>
    </row>
    <row r="132" spans="1:6">
      <c r="A132" s="44" t="s">
        <v>4383</v>
      </c>
      <c r="B132" s="44" t="s">
        <v>4475</v>
      </c>
      <c r="C132" s="44" t="s">
        <v>557</v>
      </c>
      <c r="D132" s="44" t="s">
        <v>557</v>
      </c>
      <c r="E132" s="44" t="s">
        <v>4381</v>
      </c>
      <c r="F132" s="44" t="s">
        <v>4523</v>
      </c>
    </row>
    <row r="133" spans="1:6">
      <c r="A133" s="44" t="s">
        <v>4383</v>
      </c>
      <c r="B133" s="44" t="s">
        <v>4476</v>
      </c>
      <c r="C133" s="44" t="s">
        <v>557</v>
      </c>
      <c r="D133" s="44" t="s">
        <v>557</v>
      </c>
      <c r="E133" s="44" t="s">
        <v>4381</v>
      </c>
      <c r="F133" s="44" t="s">
        <v>4523</v>
      </c>
    </row>
    <row r="134" spans="1:6">
      <c r="A134" s="44" t="s">
        <v>4383</v>
      </c>
      <c r="B134" s="44" t="s">
        <v>4477</v>
      </c>
      <c r="C134" s="44" t="s">
        <v>557</v>
      </c>
      <c r="D134" s="44" t="s">
        <v>557</v>
      </c>
      <c r="E134" s="44" t="s">
        <v>4381</v>
      </c>
      <c r="F134" s="44" t="s">
        <v>4523</v>
      </c>
    </row>
    <row r="135" spans="1:6">
      <c r="A135" s="44" t="s">
        <v>4383</v>
      </c>
      <c r="B135" s="44" t="s">
        <v>4511</v>
      </c>
      <c r="C135" s="44" t="s">
        <v>557</v>
      </c>
      <c r="D135" s="44" t="s">
        <v>557</v>
      </c>
      <c r="E135" s="44" t="s">
        <v>4381</v>
      </c>
      <c r="F135" s="44" t="s">
        <v>4523</v>
      </c>
    </row>
    <row r="136" spans="1:6">
      <c r="A136" s="44" t="s">
        <v>4383</v>
      </c>
      <c r="B136" s="44" t="s">
        <v>4512</v>
      </c>
      <c r="C136" s="44" t="s">
        <v>557</v>
      </c>
      <c r="D136" s="44" t="s">
        <v>557</v>
      </c>
      <c r="E136" s="44" t="s">
        <v>4381</v>
      </c>
      <c r="F136" s="44" t="s">
        <v>4523</v>
      </c>
    </row>
    <row r="137" spans="1:6">
      <c r="A137" s="44" t="s">
        <v>4383</v>
      </c>
      <c r="B137" s="44" t="s">
        <v>4449</v>
      </c>
      <c r="C137" s="44" t="s">
        <v>557</v>
      </c>
      <c r="D137" s="44" t="s">
        <v>557</v>
      </c>
      <c r="E137" s="44" t="s">
        <v>4381</v>
      </c>
      <c r="F137" s="44" t="s">
        <v>4523</v>
      </c>
    </row>
    <row r="138" spans="1:6">
      <c r="A138" s="44" t="s">
        <v>4383</v>
      </c>
      <c r="B138" s="44" t="s">
        <v>4451</v>
      </c>
      <c r="C138" s="44" t="s">
        <v>557</v>
      </c>
      <c r="D138" s="44" t="s">
        <v>557</v>
      </c>
      <c r="E138" s="44" t="s">
        <v>4381</v>
      </c>
      <c r="F138" s="44" t="s">
        <v>4523</v>
      </c>
    </row>
    <row r="139" spans="1:6">
      <c r="A139" s="44" t="s">
        <v>4383</v>
      </c>
      <c r="B139" s="44" t="s">
        <v>4453</v>
      </c>
      <c r="C139" s="44" t="s">
        <v>557</v>
      </c>
      <c r="D139" s="44" t="s">
        <v>557</v>
      </c>
      <c r="E139" s="44" t="s">
        <v>4381</v>
      </c>
      <c r="F139" s="44" t="s">
        <v>4523</v>
      </c>
    </row>
    <row r="140" spans="1:6">
      <c r="A140" s="44" t="s">
        <v>4383</v>
      </c>
      <c r="B140" s="44" t="s">
        <v>4478</v>
      </c>
      <c r="C140" s="44" t="s">
        <v>557</v>
      </c>
      <c r="D140" s="44" t="s">
        <v>557</v>
      </c>
      <c r="E140" s="44" t="s">
        <v>4381</v>
      </c>
      <c r="F140" s="44" t="s">
        <v>4523</v>
      </c>
    </row>
    <row r="141" spans="1:6">
      <c r="A141" s="44" t="s">
        <v>4383</v>
      </c>
      <c r="B141" s="44" t="s">
        <v>4479</v>
      </c>
      <c r="C141" s="44" t="s">
        <v>557</v>
      </c>
      <c r="D141" s="44" t="s">
        <v>557</v>
      </c>
      <c r="E141" s="44" t="s">
        <v>4381</v>
      </c>
      <c r="F141" s="44" t="s">
        <v>4523</v>
      </c>
    </row>
    <row r="142" spans="1:6">
      <c r="A142" s="44" t="s">
        <v>4383</v>
      </c>
      <c r="B142" s="44" t="s">
        <v>4513</v>
      </c>
      <c r="C142" s="44" t="s">
        <v>557</v>
      </c>
      <c r="D142" s="44" t="s">
        <v>557</v>
      </c>
      <c r="E142" s="44" t="s">
        <v>4381</v>
      </c>
      <c r="F142" s="44" t="s">
        <v>4523</v>
      </c>
    </row>
    <row r="143" spans="1:6">
      <c r="A143" s="44" t="s">
        <v>4383</v>
      </c>
      <c r="B143" s="44" t="s">
        <v>4457</v>
      </c>
      <c r="C143" s="44" t="s">
        <v>557</v>
      </c>
      <c r="D143" s="44" t="s">
        <v>557</v>
      </c>
      <c r="E143" s="44" t="s">
        <v>4381</v>
      </c>
      <c r="F143" s="44" t="s">
        <v>4523</v>
      </c>
    </row>
    <row r="144" spans="1:6">
      <c r="A144" s="44" t="s">
        <v>4383</v>
      </c>
      <c r="B144" s="44" t="s">
        <v>4461</v>
      </c>
      <c r="C144" s="44" t="s">
        <v>557</v>
      </c>
      <c r="D144" s="44" t="s">
        <v>557</v>
      </c>
      <c r="E144" s="44" t="s">
        <v>4381</v>
      </c>
      <c r="F144" s="44" t="s">
        <v>4523</v>
      </c>
    </row>
    <row r="145" spans="1:6">
      <c r="A145" s="44" t="s">
        <v>4383</v>
      </c>
      <c r="B145" s="44" t="s">
        <v>4459</v>
      </c>
      <c r="C145" s="44" t="s">
        <v>557</v>
      </c>
      <c r="D145" s="44" t="s">
        <v>557</v>
      </c>
      <c r="E145" s="44" t="s">
        <v>4381</v>
      </c>
      <c r="F145" s="44" t="s">
        <v>4523</v>
      </c>
    </row>
    <row r="146" spans="1:6">
      <c r="A146" s="44" t="s">
        <v>4383</v>
      </c>
      <c r="B146" s="44" t="s">
        <v>4480</v>
      </c>
      <c r="C146" s="44" t="s">
        <v>557</v>
      </c>
      <c r="D146" s="44" t="s">
        <v>557</v>
      </c>
      <c r="E146" s="44" t="s">
        <v>4381</v>
      </c>
      <c r="F146" s="44" t="s">
        <v>4523</v>
      </c>
    </row>
    <row r="147" spans="1:6">
      <c r="A147" s="44" t="s">
        <v>4383</v>
      </c>
      <c r="B147" s="44" t="s">
        <v>4514</v>
      </c>
      <c r="C147" s="44" t="s">
        <v>557</v>
      </c>
      <c r="D147" s="44" t="s">
        <v>557</v>
      </c>
      <c r="E147" s="44" t="s">
        <v>4381</v>
      </c>
      <c r="F147" s="44" t="s">
        <v>4523</v>
      </c>
    </row>
    <row r="148" spans="1:6">
      <c r="A148" s="44" t="s">
        <v>4383</v>
      </c>
      <c r="B148" s="44" t="s">
        <v>4481</v>
      </c>
      <c r="C148" s="44" t="s">
        <v>557</v>
      </c>
      <c r="D148" s="44" t="s">
        <v>557</v>
      </c>
      <c r="E148" s="44" t="s">
        <v>4381</v>
      </c>
      <c r="F148" s="44" t="s">
        <v>4523</v>
      </c>
    </row>
    <row r="149" spans="1:6">
      <c r="A149" s="44" t="s">
        <v>4383</v>
      </c>
      <c r="B149" s="44" t="s">
        <v>4482</v>
      </c>
      <c r="C149" s="44" t="s">
        <v>557</v>
      </c>
      <c r="D149" s="44" t="s">
        <v>557</v>
      </c>
      <c r="E149" s="44" t="s">
        <v>4381</v>
      </c>
      <c r="F149" s="44" t="s">
        <v>4523</v>
      </c>
    </row>
    <row r="150" spans="1:6">
      <c r="A150" s="44" t="s">
        <v>4383</v>
      </c>
      <c r="B150" s="44" t="s">
        <v>4483</v>
      </c>
      <c r="C150" s="44" t="s">
        <v>557</v>
      </c>
      <c r="D150" s="44" t="s">
        <v>557</v>
      </c>
      <c r="E150" s="44" t="s">
        <v>4381</v>
      </c>
      <c r="F150" s="44" t="s">
        <v>4523</v>
      </c>
    </row>
    <row r="151" spans="1:6">
      <c r="A151" s="44" t="s">
        <v>4383</v>
      </c>
      <c r="B151" s="44" t="s">
        <v>4484</v>
      </c>
      <c r="C151" s="44" t="s">
        <v>557</v>
      </c>
      <c r="D151" s="44" t="s">
        <v>557</v>
      </c>
      <c r="E151" s="44" t="s">
        <v>4381</v>
      </c>
      <c r="F151" s="44" t="s">
        <v>4523</v>
      </c>
    </row>
    <row r="152" spans="1:6">
      <c r="A152" s="44" t="s">
        <v>4383</v>
      </c>
      <c r="B152" s="44" t="s">
        <v>4515</v>
      </c>
      <c r="C152" s="44" t="s">
        <v>557</v>
      </c>
      <c r="D152" s="44" t="s">
        <v>557</v>
      </c>
      <c r="E152" s="44" t="s">
        <v>4381</v>
      </c>
      <c r="F152" s="44" t="s">
        <v>4523</v>
      </c>
    </row>
    <row r="153" spans="1:6">
      <c r="A153" s="44" t="s">
        <v>4383</v>
      </c>
      <c r="B153" s="44" t="s">
        <v>4485</v>
      </c>
      <c r="C153" s="44" t="s">
        <v>557</v>
      </c>
      <c r="D153" s="44" t="s">
        <v>557</v>
      </c>
      <c r="E153" s="44" t="s">
        <v>4381</v>
      </c>
      <c r="F153" s="44" t="s">
        <v>4523</v>
      </c>
    </row>
    <row r="154" spans="1:6">
      <c r="A154" s="44" t="s">
        <v>4383</v>
      </c>
      <c r="B154" s="44" t="s">
        <v>4486</v>
      </c>
      <c r="C154" s="44" t="s">
        <v>557</v>
      </c>
      <c r="D154" s="44" t="s">
        <v>557</v>
      </c>
      <c r="E154" s="44" t="s">
        <v>4381</v>
      </c>
      <c r="F154" s="44" t="s">
        <v>4523</v>
      </c>
    </row>
    <row r="155" spans="1:6">
      <c r="A155" s="44" t="s">
        <v>4383</v>
      </c>
      <c r="B155" s="44" t="s">
        <v>4487</v>
      </c>
      <c r="C155" s="44" t="s">
        <v>557</v>
      </c>
      <c r="D155" s="44" t="s">
        <v>557</v>
      </c>
      <c r="E155" s="44" t="s">
        <v>4381</v>
      </c>
      <c r="F155" s="44" t="s">
        <v>4523</v>
      </c>
    </row>
    <row r="156" spans="1:6">
      <c r="A156" s="44" t="s">
        <v>4383</v>
      </c>
      <c r="B156" s="44" t="s">
        <v>4488</v>
      </c>
      <c r="C156" s="44" t="s">
        <v>557</v>
      </c>
      <c r="D156" s="44" t="s">
        <v>557</v>
      </c>
      <c r="E156" s="44" t="s">
        <v>4381</v>
      </c>
      <c r="F156" s="44" t="s">
        <v>4523</v>
      </c>
    </row>
    <row r="157" spans="1:6">
      <c r="A157" s="44" t="s">
        <v>4383</v>
      </c>
      <c r="B157" s="44" t="s">
        <v>4489</v>
      </c>
      <c r="C157" s="44" t="s">
        <v>557</v>
      </c>
      <c r="D157" s="44" t="s">
        <v>557</v>
      </c>
      <c r="E157" s="44" t="s">
        <v>4381</v>
      </c>
      <c r="F157" s="44" t="s">
        <v>4523</v>
      </c>
    </row>
    <row r="158" spans="1:6">
      <c r="A158" s="44" t="s">
        <v>4383</v>
      </c>
      <c r="B158" s="44" t="s">
        <v>4516</v>
      </c>
      <c r="C158" s="44" t="s">
        <v>557</v>
      </c>
      <c r="D158" s="44" t="s">
        <v>557</v>
      </c>
      <c r="E158" s="44" t="s">
        <v>4381</v>
      </c>
      <c r="F158" s="44" t="s">
        <v>4523</v>
      </c>
    </row>
    <row r="159" spans="1:6">
      <c r="A159" s="44" t="s">
        <v>4383</v>
      </c>
      <c r="B159" s="44" t="s">
        <v>4490</v>
      </c>
      <c r="C159" s="44" t="s">
        <v>557</v>
      </c>
      <c r="D159" s="44" t="s">
        <v>557</v>
      </c>
      <c r="E159" s="44" t="s">
        <v>4381</v>
      </c>
      <c r="F159" s="44" t="s">
        <v>4523</v>
      </c>
    </row>
    <row r="160" spans="1:6">
      <c r="A160" s="44" t="s">
        <v>4383</v>
      </c>
      <c r="B160" s="44" t="s">
        <v>4491</v>
      </c>
      <c r="C160" s="44" t="s">
        <v>557</v>
      </c>
      <c r="D160" s="44" t="s">
        <v>557</v>
      </c>
      <c r="E160" s="44" t="s">
        <v>4381</v>
      </c>
      <c r="F160" s="44" t="s">
        <v>4523</v>
      </c>
    </row>
    <row r="161" spans="1:6">
      <c r="A161" s="44" t="s">
        <v>4383</v>
      </c>
      <c r="B161" s="44" t="s">
        <v>4492</v>
      </c>
      <c r="C161" s="44" t="s">
        <v>557</v>
      </c>
      <c r="D161" s="44" t="s">
        <v>557</v>
      </c>
      <c r="E161" s="44" t="s">
        <v>4381</v>
      </c>
      <c r="F161" s="44" t="s">
        <v>4523</v>
      </c>
    </row>
    <row r="162" spans="1:6">
      <c r="A162" s="44" t="s">
        <v>4383</v>
      </c>
      <c r="B162" s="44" t="s">
        <v>4493</v>
      </c>
      <c r="C162" s="44" t="s">
        <v>557</v>
      </c>
      <c r="D162" s="44" t="s">
        <v>557</v>
      </c>
      <c r="E162" s="44" t="s">
        <v>4381</v>
      </c>
      <c r="F162" s="44" t="s">
        <v>4523</v>
      </c>
    </row>
    <row r="163" spans="1:6">
      <c r="A163" s="44" t="s">
        <v>4383</v>
      </c>
      <c r="B163" s="44" t="s">
        <v>4494</v>
      </c>
      <c r="C163" s="44" t="s">
        <v>557</v>
      </c>
      <c r="D163" s="44" t="s">
        <v>557</v>
      </c>
      <c r="E163" s="44" t="s">
        <v>4381</v>
      </c>
      <c r="F163" s="44" t="s">
        <v>4523</v>
      </c>
    </row>
    <row r="164" spans="1:6">
      <c r="A164" s="44" t="s">
        <v>4383</v>
      </c>
      <c r="B164" s="44" t="s">
        <v>4517</v>
      </c>
      <c r="C164" s="44" t="s">
        <v>557</v>
      </c>
      <c r="D164" s="44" t="s">
        <v>557</v>
      </c>
      <c r="E164" s="44" t="s">
        <v>4381</v>
      </c>
      <c r="F164" s="44" t="s">
        <v>4523</v>
      </c>
    </row>
    <row r="165" spans="1:6">
      <c r="A165" s="44" t="s">
        <v>4383</v>
      </c>
      <c r="B165" s="44" t="s">
        <v>4495</v>
      </c>
      <c r="C165" s="44" t="s">
        <v>557</v>
      </c>
      <c r="D165" s="44" t="s">
        <v>557</v>
      </c>
      <c r="E165" s="44" t="s">
        <v>4381</v>
      </c>
      <c r="F165" s="44" t="s">
        <v>4523</v>
      </c>
    </row>
    <row r="166" spans="1:6">
      <c r="A166" s="44" t="s">
        <v>4383</v>
      </c>
      <c r="B166" s="44" t="s">
        <v>4496</v>
      </c>
      <c r="C166" s="44" t="s">
        <v>557</v>
      </c>
      <c r="D166" s="44" t="s">
        <v>557</v>
      </c>
      <c r="E166" s="44" t="s">
        <v>4381</v>
      </c>
      <c r="F166" s="44" t="s">
        <v>4523</v>
      </c>
    </row>
    <row r="167" spans="1:6">
      <c r="A167" s="44" t="s">
        <v>4383</v>
      </c>
      <c r="B167" s="44" t="s">
        <v>4497</v>
      </c>
      <c r="C167" s="44" t="s">
        <v>557</v>
      </c>
      <c r="D167" s="44" t="s">
        <v>557</v>
      </c>
      <c r="E167" s="44" t="s">
        <v>4381</v>
      </c>
      <c r="F167" s="44" t="s">
        <v>4523</v>
      </c>
    </row>
    <row r="168" spans="1:6">
      <c r="A168" s="44" t="s">
        <v>4383</v>
      </c>
      <c r="B168" s="44" t="s">
        <v>4498</v>
      </c>
      <c r="C168" s="44" t="s">
        <v>557</v>
      </c>
      <c r="D168" s="44" t="s">
        <v>557</v>
      </c>
      <c r="E168" s="44" t="s">
        <v>4381</v>
      </c>
      <c r="F168" s="44" t="s">
        <v>4523</v>
      </c>
    </row>
    <row r="169" spans="1:6">
      <c r="A169" s="44" t="s">
        <v>4383</v>
      </c>
      <c r="B169" s="44" t="s">
        <v>4469</v>
      </c>
      <c r="C169" s="44" t="s">
        <v>557</v>
      </c>
      <c r="D169" s="44" t="s">
        <v>557</v>
      </c>
      <c r="E169" s="44" t="s">
        <v>4381</v>
      </c>
      <c r="F169" s="44" t="s">
        <v>4523</v>
      </c>
    </row>
    <row r="170" spans="1:6">
      <c r="A170" s="44" t="s">
        <v>4383</v>
      </c>
      <c r="B170" s="44" t="s">
        <v>4455</v>
      </c>
      <c r="C170" s="44" t="s">
        <v>557</v>
      </c>
      <c r="D170" s="44" t="s">
        <v>557</v>
      </c>
      <c r="E170" s="44" t="s">
        <v>4381</v>
      </c>
      <c r="F170" s="44" t="s">
        <v>4523</v>
      </c>
    </row>
    <row r="171" spans="1:6">
      <c r="A171" s="44" t="s">
        <v>4383</v>
      </c>
      <c r="B171" s="44" t="s">
        <v>4499</v>
      </c>
      <c r="C171" s="44" t="s">
        <v>557</v>
      </c>
      <c r="D171" s="44" t="s">
        <v>557</v>
      </c>
      <c r="E171" s="44" t="s">
        <v>4381</v>
      </c>
      <c r="F171" s="44" t="s">
        <v>4523</v>
      </c>
    </row>
    <row r="172" spans="1:6">
      <c r="A172" s="44" t="s">
        <v>4383</v>
      </c>
      <c r="B172" s="44" t="s">
        <v>4518</v>
      </c>
      <c r="C172" s="44" t="s">
        <v>557</v>
      </c>
      <c r="D172" s="44" t="s">
        <v>557</v>
      </c>
      <c r="E172" s="44" t="s">
        <v>4381</v>
      </c>
      <c r="F172" s="44" t="s">
        <v>4523</v>
      </c>
    </row>
    <row r="173" spans="1:6">
      <c r="A173" s="44" t="s">
        <v>4383</v>
      </c>
      <c r="B173" s="44" t="s">
        <v>4500</v>
      </c>
      <c r="C173" s="44" t="s">
        <v>557</v>
      </c>
      <c r="D173" s="44" t="s">
        <v>557</v>
      </c>
      <c r="E173" s="44" t="s">
        <v>4381</v>
      </c>
      <c r="F173" s="44" t="s">
        <v>4523</v>
      </c>
    </row>
    <row r="174" spans="1:6">
      <c r="A174" s="44" t="s">
        <v>4383</v>
      </c>
      <c r="B174" s="44" t="s">
        <v>4501</v>
      </c>
      <c r="C174" s="44" t="s">
        <v>557</v>
      </c>
      <c r="D174" s="44" t="s">
        <v>557</v>
      </c>
      <c r="E174" s="44" t="s">
        <v>4381</v>
      </c>
      <c r="F174" s="44" t="s">
        <v>4523</v>
      </c>
    </row>
    <row r="175" spans="1:6">
      <c r="A175" s="44" t="s">
        <v>4383</v>
      </c>
      <c r="B175" s="44" t="s">
        <v>4519</v>
      </c>
      <c r="C175" s="44" t="s">
        <v>557</v>
      </c>
      <c r="D175" s="44" t="s">
        <v>557</v>
      </c>
      <c r="E175" s="44" t="s">
        <v>4381</v>
      </c>
      <c r="F175" s="44" t="s">
        <v>4523</v>
      </c>
    </row>
    <row r="176" spans="1:6">
      <c r="A176" s="44" t="s">
        <v>4383</v>
      </c>
      <c r="B176" s="44" t="s">
        <v>4502</v>
      </c>
      <c r="C176" s="44" t="s">
        <v>557</v>
      </c>
      <c r="D176" s="44" t="s">
        <v>557</v>
      </c>
      <c r="E176" s="44" t="s">
        <v>4381</v>
      </c>
      <c r="F176" s="44" t="s">
        <v>4523</v>
      </c>
    </row>
    <row r="177" spans="1:6">
      <c r="A177" s="44" t="s">
        <v>4383</v>
      </c>
      <c r="B177" s="44" t="s">
        <v>4503</v>
      </c>
      <c r="C177" s="44" t="s">
        <v>557</v>
      </c>
      <c r="D177" s="44" t="s">
        <v>557</v>
      </c>
      <c r="E177" s="44" t="s">
        <v>4381</v>
      </c>
      <c r="F177" s="44" t="s">
        <v>4523</v>
      </c>
    </row>
    <row r="178" spans="1:6">
      <c r="A178" s="44" t="s">
        <v>4383</v>
      </c>
      <c r="B178" s="44" t="s">
        <v>4520</v>
      </c>
      <c r="C178" s="44" t="s">
        <v>557</v>
      </c>
      <c r="D178" s="44" t="s">
        <v>557</v>
      </c>
      <c r="E178" s="44" t="s">
        <v>4381</v>
      </c>
      <c r="F178" s="44" t="s">
        <v>4523</v>
      </c>
    </row>
    <row r="179" spans="1:6">
      <c r="A179" s="44" t="s">
        <v>4383</v>
      </c>
      <c r="B179" s="44" t="s">
        <v>4504</v>
      </c>
      <c r="C179" s="44" t="s">
        <v>557</v>
      </c>
      <c r="D179" s="44" t="s">
        <v>557</v>
      </c>
      <c r="E179" s="44" t="s">
        <v>4381</v>
      </c>
      <c r="F179" s="44" t="s">
        <v>4523</v>
      </c>
    </row>
    <row r="180" spans="1:6">
      <c r="A180" s="44" t="s">
        <v>4383</v>
      </c>
      <c r="B180" s="44" t="s">
        <v>4505</v>
      </c>
      <c r="C180" s="44" t="s">
        <v>557</v>
      </c>
      <c r="D180" s="44" t="s">
        <v>557</v>
      </c>
      <c r="E180" s="44" t="s">
        <v>4381</v>
      </c>
      <c r="F180" s="44" t="s">
        <v>4523</v>
      </c>
    </row>
    <row r="181" spans="1:6">
      <c r="A181" s="44" t="s">
        <v>4383</v>
      </c>
      <c r="B181" s="44" t="s">
        <v>4506</v>
      </c>
      <c r="C181" s="44" t="s">
        <v>557</v>
      </c>
      <c r="D181" s="44" t="s">
        <v>557</v>
      </c>
      <c r="E181" s="44" t="s">
        <v>4381</v>
      </c>
      <c r="F181" s="44" t="s">
        <v>4523</v>
      </c>
    </row>
    <row r="182" spans="1:6">
      <c r="A182" s="44" t="s">
        <v>4383</v>
      </c>
      <c r="B182" s="44" t="s">
        <v>4465</v>
      </c>
      <c r="C182" s="44" t="s">
        <v>557</v>
      </c>
      <c r="D182" s="44" t="s">
        <v>557</v>
      </c>
      <c r="E182" s="44" t="s">
        <v>4381</v>
      </c>
      <c r="F182" s="44" t="s">
        <v>4523</v>
      </c>
    </row>
    <row r="183" spans="1:6">
      <c r="A183" s="44" t="s">
        <v>4383</v>
      </c>
      <c r="B183" s="44" t="s">
        <v>4507</v>
      </c>
      <c r="C183" s="44" t="s">
        <v>557</v>
      </c>
      <c r="D183" s="44" t="s">
        <v>557</v>
      </c>
      <c r="E183" s="44" t="s">
        <v>4381</v>
      </c>
      <c r="F183" s="44" t="s">
        <v>4523</v>
      </c>
    </row>
    <row r="184" spans="1:6">
      <c r="A184" s="44" t="s">
        <v>4383</v>
      </c>
      <c r="B184" s="44" t="s">
        <v>1644</v>
      </c>
      <c r="C184" s="44" t="s">
        <v>557</v>
      </c>
      <c r="D184" s="44" t="s">
        <v>557</v>
      </c>
      <c r="E184" s="44" t="s">
        <v>4381</v>
      </c>
      <c r="F184" s="44" t="s">
        <v>4523</v>
      </c>
    </row>
    <row r="185" spans="1:6">
      <c r="A185" s="44" t="s">
        <v>4383</v>
      </c>
      <c r="B185" s="44" t="s">
        <v>4521</v>
      </c>
      <c r="C185" s="44" t="s">
        <v>557</v>
      </c>
      <c r="D185" s="44" t="s">
        <v>557</v>
      </c>
      <c r="E185" s="44" t="s">
        <v>4381</v>
      </c>
      <c r="F185" s="44" t="s">
        <v>4523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Q96"/>
  <sheetViews>
    <sheetView tabSelected="1" zoomScaleNormal="100" workbookViewId="0">
      <selection activeCell="F31" sqref="F31"/>
    </sheetView>
  </sheetViews>
  <sheetFormatPr defaultColWidth="10.6640625" defaultRowHeight="13.8"/>
  <cols>
    <col min="6" max="6" width="17.6640625" customWidth="1"/>
    <col min="7" max="7" width="11.5546875" customWidth="1"/>
    <col min="13" max="13" width="30" customWidth="1"/>
  </cols>
  <sheetData>
    <row r="3" spans="1:17">
      <c r="A3" t="s">
        <v>656</v>
      </c>
      <c r="B3" t="s">
        <v>1</v>
      </c>
      <c r="C3" t="s">
        <v>2</v>
      </c>
      <c r="D3" t="s">
        <v>3451</v>
      </c>
      <c r="E3" t="s">
        <v>655</v>
      </c>
      <c r="F3" t="s">
        <v>657</v>
      </c>
      <c r="G3" t="s">
        <v>3</v>
      </c>
      <c r="M3" t="s">
        <v>656</v>
      </c>
      <c r="Q3" t="s">
        <v>3322</v>
      </c>
    </row>
    <row r="4" spans="1:17">
      <c r="A4" t="s">
        <v>3757</v>
      </c>
      <c r="B4" t="s">
        <v>416</v>
      </c>
      <c r="C4" t="s">
        <v>417</v>
      </c>
      <c r="E4" t="s">
        <v>3758</v>
      </c>
      <c r="F4" t="s">
        <v>3759</v>
      </c>
      <c r="G4" t="s">
        <v>3286</v>
      </c>
      <c r="H4" t="s">
        <v>3760</v>
      </c>
      <c r="M4" t="s">
        <v>688</v>
      </c>
      <c r="Q4" t="s">
        <v>3324</v>
      </c>
    </row>
    <row r="5" spans="1:17">
      <c r="A5" t="s">
        <v>660</v>
      </c>
      <c r="B5" t="s">
        <v>557</v>
      </c>
      <c r="C5" t="s">
        <v>557</v>
      </c>
      <c r="E5" t="s">
        <v>557</v>
      </c>
      <c r="F5" t="s">
        <v>661</v>
      </c>
      <c r="M5" t="s">
        <v>753</v>
      </c>
      <c r="Q5" t="s">
        <v>703</v>
      </c>
    </row>
    <row r="6" spans="1:17">
      <c r="A6" t="s">
        <v>3761</v>
      </c>
      <c r="B6" t="s">
        <v>557</v>
      </c>
      <c r="C6" t="s">
        <v>557</v>
      </c>
      <c r="E6" t="s">
        <v>557</v>
      </c>
      <c r="F6" t="s">
        <v>3762</v>
      </c>
      <c r="M6" t="s">
        <v>784</v>
      </c>
      <c r="Q6" t="s">
        <v>706</v>
      </c>
    </row>
    <row r="7" spans="1:17">
      <c r="A7" t="s">
        <v>701</v>
      </c>
      <c r="B7" t="s">
        <v>557</v>
      </c>
      <c r="C7" t="s">
        <v>557</v>
      </c>
      <c r="E7" t="s">
        <v>557</v>
      </c>
      <c r="F7" t="s">
        <v>70</v>
      </c>
      <c r="H7" t="s">
        <v>3763</v>
      </c>
      <c r="M7" t="s">
        <v>702</v>
      </c>
      <c r="N7" t="s">
        <v>69</v>
      </c>
      <c r="Q7" t="s">
        <v>709</v>
      </c>
    </row>
    <row r="8" spans="1:17">
      <c r="A8" t="s">
        <v>704</v>
      </c>
      <c r="B8" t="s">
        <v>68</v>
      </c>
      <c r="C8" t="s">
        <v>69</v>
      </c>
      <c r="D8" t="s">
        <v>3764</v>
      </c>
      <c r="E8" t="s">
        <v>1657</v>
      </c>
      <c r="F8" t="s">
        <v>703</v>
      </c>
      <c r="G8" t="s">
        <v>70</v>
      </c>
      <c r="M8" t="s">
        <v>757</v>
      </c>
      <c r="Q8" t="s">
        <v>716</v>
      </c>
    </row>
    <row r="9" spans="1:17">
      <c r="A9" t="s">
        <v>707</v>
      </c>
      <c r="B9" t="s">
        <v>68</v>
      </c>
      <c r="C9" t="s">
        <v>69</v>
      </c>
      <c r="E9" t="s">
        <v>1657</v>
      </c>
      <c r="F9" t="s">
        <v>706</v>
      </c>
      <c r="G9" t="s">
        <v>70</v>
      </c>
      <c r="M9" t="s">
        <v>833</v>
      </c>
      <c r="Q9" t="s">
        <v>73</v>
      </c>
    </row>
    <row r="10" spans="1:17">
      <c r="A10" t="s">
        <v>710</v>
      </c>
      <c r="B10" t="s">
        <v>68</v>
      </c>
      <c r="C10" t="s">
        <v>69</v>
      </c>
      <c r="E10" t="s">
        <v>1657</v>
      </c>
      <c r="F10" t="s">
        <v>709</v>
      </c>
      <c r="G10" t="s">
        <v>70</v>
      </c>
      <c r="M10" t="s">
        <v>658</v>
      </c>
      <c r="Q10" t="s">
        <v>751</v>
      </c>
    </row>
    <row r="11" spans="1:17">
      <c r="A11" t="s">
        <v>713</v>
      </c>
      <c r="B11" t="s">
        <v>557</v>
      </c>
      <c r="C11" t="s">
        <v>557</v>
      </c>
      <c r="E11" t="s">
        <v>557</v>
      </c>
      <c r="F11" t="s">
        <v>714</v>
      </c>
      <c r="H11" t="s">
        <v>3763</v>
      </c>
      <c r="M11" t="s">
        <v>844</v>
      </c>
      <c r="Q11" t="s">
        <v>735</v>
      </c>
    </row>
    <row r="12" spans="1:17">
      <c r="A12" t="s">
        <v>717</v>
      </c>
      <c r="B12" t="s">
        <v>71</v>
      </c>
      <c r="C12" t="s">
        <v>72</v>
      </c>
      <c r="D12" t="s">
        <v>3765</v>
      </c>
      <c r="E12" t="s">
        <v>1656</v>
      </c>
      <c r="F12" t="s">
        <v>716</v>
      </c>
      <c r="G12" t="s">
        <v>73</v>
      </c>
      <c r="M12" t="s">
        <v>828</v>
      </c>
      <c r="Q12" t="s">
        <v>739</v>
      </c>
    </row>
    <row r="13" spans="1:17">
      <c r="A13" t="s">
        <v>719</v>
      </c>
      <c r="B13" t="s">
        <v>71</v>
      </c>
      <c r="C13" t="s">
        <v>72</v>
      </c>
      <c r="E13" t="s">
        <v>1656</v>
      </c>
      <c r="F13" t="s">
        <v>73</v>
      </c>
      <c r="G13" t="s">
        <v>73</v>
      </c>
      <c r="M13" t="s">
        <v>821</v>
      </c>
      <c r="Q13" t="s">
        <v>741</v>
      </c>
    </row>
    <row r="14" spans="1:17">
      <c r="A14" t="s">
        <v>734</v>
      </c>
      <c r="B14" t="s">
        <v>223</v>
      </c>
      <c r="C14" t="s">
        <v>224</v>
      </c>
      <c r="E14" t="s">
        <v>1657</v>
      </c>
      <c r="F14" t="s">
        <v>735</v>
      </c>
      <c r="G14" t="s">
        <v>225</v>
      </c>
      <c r="M14" t="s">
        <v>666</v>
      </c>
      <c r="Q14" t="s">
        <v>753</v>
      </c>
    </row>
    <row r="15" spans="1:17">
      <c r="A15" t="s">
        <v>738</v>
      </c>
      <c r="B15" t="s">
        <v>223</v>
      </c>
      <c r="C15" t="s">
        <v>224</v>
      </c>
      <c r="E15" t="s">
        <v>1657</v>
      </c>
      <c r="F15" t="s">
        <v>739</v>
      </c>
      <c r="G15" t="s">
        <v>225</v>
      </c>
      <c r="M15" t="s">
        <v>711</v>
      </c>
      <c r="Q15" t="s">
        <v>876</v>
      </c>
    </row>
    <row r="16" spans="1:17">
      <c r="A16" t="s">
        <v>752</v>
      </c>
      <c r="B16" t="s">
        <v>226</v>
      </c>
      <c r="C16" t="s">
        <v>227</v>
      </c>
      <c r="E16" t="s">
        <v>1657</v>
      </c>
      <c r="F16" t="s">
        <v>751</v>
      </c>
      <c r="G16" t="s">
        <v>1702</v>
      </c>
      <c r="M16" t="s">
        <v>681</v>
      </c>
      <c r="Q16" t="s">
        <v>744</v>
      </c>
    </row>
    <row r="17" spans="1:17">
      <c r="A17" t="s">
        <v>755</v>
      </c>
      <c r="B17" t="s">
        <v>226</v>
      </c>
      <c r="C17" t="s">
        <v>227</v>
      </c>
      <c r="E17" t="s">
        <v>1656</v>
      </c>
      <c r="F17" t="s">
        <v>756</v>
      </c>
      <c r="G17" t="s">
        <v>1702</v>
      </c>
      <c r="M17" t="s">
        <v>740</v>
      </c>
      <c r="Q17" t="s">
        <v>667</v>
      </c>
    </row>
    <row r="18" spans="1:17">
      <c r="A18" t="s">
        <v>742</v>
      </c>
      <c r="B18" t="s">
        <v>223</v>
      </c>
      <c r="C18" t="s">
        <v>224</v>
      </c>
      <c r="E18" t="s">
        <v>1657</v>
      </c>
      <c r="F18" t="s">
        <v>741</v>
      </c>
      <c r="G18" t="s">
        <v>225</v>
      </c>
      <c r="M18" t="s">
        <v>732</v>
      </c>
      <c r="Q18" t="s">
        <v>670</v>
      </c>
    </row>
    <row r="19" spans="1:17">
      <c r="A19" t="s">
        <v>745</v>
      </c>
      <c r="B19" t="s">
        <v>223</v>
      </c>
      <c r="C19" t="s">
        <v>224</v>
      </c>
      <c r="E19" t="s">
        <v>1659</v>
      </c>
      <c r="F19" t="s">
        <v>744</v>
      </c>
      <c r="G19" t="s">
        <v>225</v>
      </c>
      <c r="M19" t="s">
        <v>743</v>
      </c>
      <c r="Q19" t="s">
        <v>159</v>
      </c>
    </row>
    <row r="20" spans="1:17">
      <c r="A20" t="s">
        <v>664</v>
      </c>
      <c r="B20" t="s">
        <v>557</v>
      </c>
      <c r="C20" t="s">
        <v>557</v>
      </c>
      <c r="E20" t="s">
        <v>557</v>
      </c>
      <c r="F20" t="s">
        <v>665</v>
      </c>
      <c r="M20" t="s">
        <v>705</v>
      </c>
      <c r="Q20" t="s">
        <v>679</v>
      </c>
    </row>
    <row r="21" spans="1:17">
      <c r="A21" t="s">
        <v>877</v>
      </c>
      <c r="B21" t="s">
        <v>557</v>
      </c>
      <c r="C21" t="s">
        <v>557</v>
      </c>
      <c r="E21" t="s">
        <v>1659</v>
      </c>
      <c r="F21" t="s">
        <v>876</v>
      </c>
      <c r="M21" t="s">
        <v>720</v>
      </c>
      <c r="Q21" t="s">
        <v>727</v>
      </c>
    </row>
    <row r="22" spans="1:17">
      <c r="A22" t="s">
        <v>668</v>
      </c>
      <c r="B22" t="s">
        <v>557</v>
      </c>
      <c r="C22" t="s">
        <v>557</v>
      </c>
      <c r="E22" t="s">
        <v>1659</v>
      </c>
      <c r="F22" t="s">
        <v>667</v>
      </c>
      <c r="M22" t="s">
        <v>851</v>
      </c>
      <c r="Q22" t="s">
        <v>82</v>
      </c>
    </row>
    <row r="23" spans="1:17">
      <c r="A23" t="s">
        <v>671</v>
      </c>
      <c r="B23" t="s">
        <v>557</v>
      </c>
      <c r="C23" t="s">
        <v>557</v>
      </c>
      <c r="E23" t="s">
        <v>1659</v>
      </c>
      <c r="F23" t="s">
        <v>670</v>
      </c>
      <c r="M23" t="s">
        <v>795</v>
      </c>
      <c r="Q23" t="s">
        <v>3341</v>
      </c>
    </row>
    <row r="24" spans="1:17">
      <c r="A24" t="s">
        <v>854</v>
      </c>
      <c r="B24" t="s">
        <v>416</v>
      </c>
      <c r="C24" t="s">
        <v>417</v>
      </c>
      <c r="E24" t="s">
        <v>3766</v>
      </c>
      <c r="F24" t="s">
        <v>853</v>
      </c>
      <c r="G24" t="s">
        <v>3286</v>
      </c>
      <c r="M24" t="s">
        <v>779</v>
      </c>
      <c r="Q24" t="s">
        <v>721</v>
      </c>
    </row>
    <row r="25" spans="1:17">
      <c r="A25" t="s">
        <v>3767</v>
      </c>
      <c r="B25" t="s">
        <v>557</v>
      </c>
      <c r="C25" t="s">
        <v>557</v>
      </c>
      <c r="E25" t="s">
        <v>557</v>
      </c>
      <c r="F25" t="s">
        <v>3768</v>
      </c>
      <c r="M25" t="s">
        <v>765</v>
      </c>
      <c r="Q25" t="s">
        <v>724</v>
      </c>
    </row>
    <row r="26" spans="1:17">
      <c r="A26" t="s">
        <v>731</v>
      </c>
      <c r="B26" t="s">
        <v>80</v>
      </c>
      <c r="C26" t="s">
        <v>81</v>
      </c>
      <c r="E26" t="s">
        <v>1659</v>
      </c>
      <c r="F26" t="s">
        <v>82</v>
      </c>
      <c r="G26" t="s">
        <v>3283</v>
      </c>
      <c r="M26" t="s">
        <v>874</v>
      </c>
      <c r="Q26" t="s">
        <v>747</v>
      </c>
    </row>
    <row r="27" spans="1:17">
      <c r="A27" t="s">
        <v>3769</v>
      </c>
      <c r="B27" t="s">
        <v>557</v>
      </c>
      <c r="C27" t="s">
        <v>557</v>
      </c>
      <c r="E27" t="s">
        <v>557</v>
      </c>
      <c r="F27" t="s">
        <v>3770</v>
      </c>
      <c r="H27" t="s">
        <v>3771</v>
      </c>
      <c r="M27" t="s">
        <v>736</v>
      </c>
      <c r="Q27" t="s">
        <v>3345</v>
      </c>
    </row>
    <row r="28" spans="1:17">
      <c r="A28" t="s">
        <v>880</v>
      </c>
      <c r="B28" t="s">
        <v>422</v>
      </c>
      <c r="C28" t="s">
        <v>423</v>
      </c>
      <c r="E28" t="s">
        <v>3766</v>
      </c>
      <c r="F28" t="s">
        <v>879</v>
      </c>
      <c r="G28" t="s">
        <v>3772</v>
      </c>
      <c r="M28" t="s">
        <v>774</v>
      </c>
      <c r="Q28" t="s">
        <v>790</v>
      </c>
    </row>
    <row r="29" spans="1:17">
      <c r="A29" t="s">
        <v>849</v>
      </c>
      <c r="B29" t="s">
        <v>332</v>
      </c>
      <c r="C29" t="s">
        <v>333</v>
      </c>
      <c r="E29" t="s">
        <v>1653</v>
      </c>
      <c r="F29" t="s">
        <v>850</v>
      </c>
      <c r="G29" t="s">
        <v>3289</v>
      </c>
      <c r="M29" t="s">
        <v>883</v>
      </c>
      <c r="Q29" t="s">
        <v>793</v>
      </c>
    </row>
    <row r="30" spans="1:17">
      <c r="A30" t="s">
        <v>3773</v>
      </c>
      <c r="B30" t="s">
        <v>557</v>
      </c>
      <c r="C30" t="s">
        <v>557</v>
      </c>
      <c r="E30" t="s">
        <v>557</v>
      </c>
      <c r="F30" t="s">
        <v>3774</v>
      </c>
      <c r="M30" t="s">
        <v>699</v>
      </c>
      <c r="Q30" t="s">
        <v>796</v>
      </c>
    </row>
    <row r="31" spans="1:17">
      <c r="A31" t="s">
        <v>3775</v>
      </c>
      <c r="B31" t="s">
        <v>557</v>
      </c>
      <c r="C31" t="s">
        <v>557</v>
      </c>
      <c r="E31" t="s">
        <v>557</v>
      </c>
      <c r="F31" t="s">
        <v>3776</v>
      </c>
      <c r="M31" t="s">
        <v>878</v>
      </c>
      <c r="Q31" t="s">
        <v>3348</v>
      </c>
    </row>
    <row r="32" spans="1:17">
      <c r="A32" t="s">
        <v>722</v>
      </c>
      <c r="B32" t="s">
        <v>74</v>
      </c>
      <c r="C32" t="s">
        <v>75</v>
      </c>
      <c r="E32" t="s">
        <v>1658</v>
      </c>
      <c r="F32" t="s">
        <v>721</v>
      </c>
      <c r="G32" t="s">
        <v>3282</v>
      </c>
      <c r="M32" t="s">
        <v>881</v>
      </c>
      <c r="Q32" t="s">
        <v>3350</v>
      </c>
    </row>
    <row r="33" spans="1:17">
      <c r="A33" t="s">
        <v>674</v>
      </c>
      <c r="B33" t="s">
        <v>557</v>
      </c>
      <c r="C33" t="s">
        <v>557</v>
      </c>
      <c r="E33" t="s">
        <v>557</v>
      </c>
      <c r="F33" t="s">
        <v>3777</v>
      </c>
      <c r="M33" t="s">
        <v>855</v>
      </c>
      <c r="Q33" t="s">
        <v>759</v>
      </c>
    </row>
    <row r="34" spans="1:17">
      <c r="A34" t="s">
        <v>3778</v>
      </c>
      <c r="B34" t="s">
        <v>557</v>
      </c>
      <c r="C34" t="s">
        <v>557</v>
      </c>
      <c r="E34" t="s">
        <v>557</v>
      </c>
      <c r="F34" t="s">
        <v>3779</v>
      </c>
      <c r="M34" t="s">
        <v>789</v>
      </c>
      <c r="Q34" t="s">
        <v>3353</v>
      </c>
    </row>
    <row r="35" spans="1:17">
      <c r="A35" t="s">
        <v>725</v>
      </c>
      <c r="B35" t="s">
        <v>74</v>
      </c>
      <c r="C35" t="s">
        <v>75</v>
      </c>
      <c r="E35" t="s">
        <v>1658</v>
      </c>
      <c r="F35" t="s">
        <v>724</v>
      </c>
      <c r="G35" t="s">
        <v>3282</v>
      </c>
      <c r="M35" t="s">
        <v>837</v>
      </c>
      <c r="Q35" t="s">
        <v>771</v>
      </c>
    </row>
    <row r="36" spans="1:17">
      <c r="A36" t="s">
        <v>748</v>
      </c>
      <c r="B36" t="s">
        <v>226</v>
      </c>
      <c r="C36" t="s">
        <v>227</v>
      </c>
      <c r="E36" t="s">
        <v>1658</v>
      </c>
      <c r="F36" t="s">
        <v>747</v>
      </c>
      <c r="G36" t="s">
        <v>1702</v>
      </c>
      <c r="M36" t="s">
        <v>770</v>
      </c>
      <c r="Q36" t="s">
        <v>806</v>
      </c>
    </row>
    <row r="37" spans="1:17">
      <c r="A37" t="s">
        <v>787</v>
      </c>
      <c r="B37" t="s">
        <v>557</v>
      </c>
      <c r="C37" t="s">
        <v>557</v>
      </c>
      <c r="E37" t="s">
        <v>557</v>
      </c>
      <c r="F37" t="s">
        <v>788</v>
      </c>
      <c r="M37" t="s">
        <v>805</v>
      </c>
      <c r="Q37" t="s">
        <v>776</v>
      </c>
    </row>
    <row r="38" spans="1:17">
      <c r="A38" t="s">
        <v>3780</v>
      </c>
      <c r="B38" t="s">
        <v>226</v>
      </c>
      <c r="C38" t="s">
        <v>227</v>
      </c>
      <c r="E38" t="s">
        <v>1658</v>
      </c>
      <c r="F38" t="s">
        <v>3781</v>
      </c>
      <c r="G38" t="s">
        <v>1702</v>
      </c>
      <c r="M38" t="s">
        <v>718</v>
      </c>
      <c r="Q38" t="s">
        <v>783</v>
      </c>
    </row>
    <row r="39" spans="1:17">
      <c r="A39" t="s">
        <v>791</v>
      </c>
      <c r="B39" t="s">
        <v>226</v>
      </c>
      <c r="C39" t="s">
        <v>227</v>
      </c>
      <c r="E39" t="s">
        <v>1658</v>
      </c>
      <c r="F39" t="s">
        <v>790</v>
      </c>
      <c r="G39" t="s">
        <v>1702</v>
      </c>
      <c r="M39" t="s">
        <v>841</v>
      </c>
      <c r="Q39" t="s">
        <v>803</v>
      </c>
    </row>
    <row r="40" spans="1:17">
      <c r="A40" t="s">
        <v>3782</v>
      </c>
      <c r="B40" t="s">
        <v>557</v>
      </c>
      <c r="C40" t="s">
        <v>557</v>
      </c>
      <c r="E40" t="s">
        <v>557</v>
      </c>
      <c r="F40" t="s">
        <v>3783</v>
      </c>
      <c r="M40" t="s">
        <v>798</v>
      </c>
      <c r="Q40" t="s">
        <v>809</v>
      </c>
    </row>
    <row r="41" spans="1:17">
      <c r="A41" t="s">
        <v>3784</v>
      </c>
      <c r="B41" t="s">
        <v>557</v>
      </c>
      <c r="C41" t="s">
        <v>557</v>
      </c>
      <c r="E41" t="s">
        <v>3785</v>
      </c>
      <c r="F41" t="s">
        <v>3786</v>
      </c>
      <c r="M41" t="s">
        <v>812</v>
      </c>
      <c r="Q41" t="s">
        <v>813</v>
      </c>
    </row>
    <row r="42" spans="1:17">
      <c r="A42" t="s">
        <v>794</v>
      </c>
      <c r="B42" t="s">
        <v>226</v>
      </c>
      <c r="C42" t="s">
        <v>227</v>
      </c>
      <c r="E42" t="s">
        <v>1658</v>
      </c>
      <c r="F42" t="s">
        <v>793</v>
      </c>
      <c r="G42" t="s">
        <v>1702</v>
      </c>
      <c r="M42" t="s">
        <v>662</v>
      </c>
      <c r="Q42" t="s">
        <v>822</v>
      </c>
    </row>
    <row r="43" spans="1:17">
      <c r="A43" t="s">
        <v>797</v>
      </c>
      <c r="B43" t="s">
        <v>226</v>
      </c>
      <c r="C43" t="s">
        <v>227</v>
      </c>
      <c r="E43" t="s">
        <v>1658</v>
      </c>
      <c r="F43" t="s">
        <v>796</v>
      </c>
      <c r="G43" t="s">
        <v>1702</v>
      </c>
      <c r="M43" t="s">
        <v>761</v>
      </c>
      <c r="Q43" t="s">
        <v>816</v>
      </c>
    </row>
    <row r="44" spans="1:17">
      <c r="A44" t="s">
        <v>800</v>
      </c>
      <c r="B44" t="s">
        <v>226</v>
      </c>
      <c r="C44" t="s">
        <v>227</v>
      </c>
      <c r="E44" t="s">
        <v>1658</v>
      </c>
      <c r="F44" t="s">
        <v>801</v>
      </c>
      <c r="G44" t="s">
        <v>1702</v>
      </c>
      <c r="M44" t="s">
        <v>802</v>
      </c>
      <c r="Q44" t="s">
        <v>819</v>
      </c>
    </row>
    <row r="45" spans="1:17">
      <c r="A45" t="s">
        <v>804</v>
      </c>
      <c r="B45" t="s">
        <v>226</v>
      </c>
      <c r="C45" t="s">
        <v>227</v>
      </c>
      <c r="E45" t="s">
        <v>1658</v>
      </c>
      <c r="F45" t="s">
        <v>803</v>
      </c>
      <c r="G45" t="s">
        <v>1702</v>
      </c>
      <c r="M45" t="s">
        <v>729</v>
      </c>
      <c r="N45" t="s">
        <v>81</v>
      </c>
      <c r="Q45" t="s">
        <v>3363</v>
      </c>
    </row>
    <row r="46" spans="1:17">
      <c r="A46" t="s">
        <v>760</v>
      </c>
      <c r="B46" t="s">
        <v>226</v>
      </c>
      <c r="C46" t="s">
        <v>227</v>
      </c>
      <c r="E46" t="s">
        <v>1658</v>
      </c>
      <c r="F46" t="s">
        <v>759</v>
      </c>
      <c r="G46" t="s">
        <v>1702</v>
      </c>
      <c r="M46" t="s">
        <v>723</v>
      </c>
      <c r="N46" t="s">
        <v>75</v>
      </c>
      <c r="Q46" t="s">
        <v>3365</v>
      </c>
    </row>
    <row r="47" spans="1:17">
      <c r="A47" t="s">
        <v>3787</v>
      </c>
      <c r="B47" t="s">
        <v>557</v>
      </c>
      <c r="C47" t="s">
        <v>557</v>
      </c>
      <c r="E47" t="s">
        <v>557</v>
      </c>
      <c r="F47" t="s">
        <v>3788</v>
      </c>
      <c r="M47" t="s">
        <v>847</v>
      </c>
      <c r="Q47" t="s">
        <v>3367</v>
      </c>
    </row>
    <row r="48" spans="1:17">
      <c r="A48" t="s">
        <v>763</v>
      </c>
      <c r="B48" t="s">
        <v>226</v>
      </c>
      <c r="C48" t="s">
        <v>227</v>
      </c>
      <c r="E48" t="s">
        <v>1658</v>
      </c>
      <c r="F48" t="s">
        <v>764</v>
      </c>
      <c r="G48" t="s">
        <v>1702</v>
      </c>
      <c r="M48" t="s">
        <v>672</v>
      </c>
      <c r="Q48" t="s">
        <v>3369</v>
      </c>
    </row>
    <row r="49" spans="1:17">
      <c r="A49" t="s">
        <v>768</v>
      </c>
      <c r="B49" t="s">
        <v>226</v>
      </c>
      <c r="C49" t="s">
        <v>227</v>
      </c>
      <c r="E49" t="s">
        <v>1658</v>
      </c>
      <c r="F49" t="s">
        <v>769</v>
      </c>
      <c r="G49" t="s">
        <v>1702</v>
      </c>
      <c r="M49" t="s">
        <v>726</v>
      </c>
      <c r="Q49" t="s">
        <v>696</v>
      </c>
    </row>
    <row r="50" spans="1:17">
      <c r="A50" t="s">
        <v>3789</v>
      </c>
      <c r="B50" t="s">
        <v>557</v>
      </c>
      <c r="C50" t="s">
        <v>557</v>
      </c>
      <c r="E50" t="s">
        <v>557</v>
      </c>
      <c r="F50" t="s">
        <v>3790</v>
      </c>
      <c r="M50" t="s">
        <v>708</v>
      </c>
      <c r="Q50" t="s">
        <v>845</v>
      </c>
    </row>
    <row r="51" spans="1:17">
      <c r="A51" t="s">
        <v>772</v>
      </c>
      <c r="B51" t="s">
        <v>226</v>
      </c>
      <c r="C51" t="s">
        <v>227</v>
      </c>
      <c r="E51" t="s">
        <v>1658</v>
      </c>
      <c r="F51" t="s">
        <v>773</v>
      </c>
      <c r="G51" t="s">
        <v>1702</v>
      </c>
      <c r="M51" t="s">
        <v>690</v>
      </c>
      <c r="Q51" t="s">
        <v>830</v>
      </c>
    </row>
    <row r="52" spans="1:17">
      <c r="A52" t="s">
        <v>807</v>
      </c>
      <c r="B52" t="s">
        <v>226</v>
      </c>
      <c r="C52" t="s">
        <v>227</v>
      </c>
      <c r="E52" t="s">
        <v>1658</v>
      </c>
      <c r="F52" t="s">
        <v>806</v>
      </c>
      <c r="G52" t="s">
        <v>1702</v>
      </c>
      <c r="M52" t="s">
        <v>669</v>
      </c>
      <c r="Q52" t="s">
        <v>834</v>
      </c>
    </row>
    <row r="53" spans="1:17">
      <c r="A53" t="s">
        <v>3791</v>
      </c>
      <c r="B53" t="s">
        <v>557</v>
      </c>
      <c r="C53" t="s">
        <v>557</v>
      </c>
      <c r="E53" t="s">
        <v>557</v>
      </c>
      <c r="F53" t="s">
        <v>3792</v>
      </c>
      <c r="M53" t="s">
        <v>824</v>
      </c>
      <c r="Q53" t="s">
        <v>3373</v>
      </c>
    </row>
    <row r="54" spans="1:17">
      <c r="A54" t="s">
        <v>3793</v>
      </c>
      <c r="B54" t="s">
        <v>557</v>
      </c>
      <c r="C54" t="s">
        <v>557</v>
      </c>
      <c r="E54" t="s">
        <v>557</v>
      </c>
      <c r="F54" t="s">
        <v>3794</v>
      </c>
      <c r="M54" t="s">
        <v>815</v>
      </c>
      <c r="Q54" t="s">
        <v>842</v>
      </c>
    </row>
    <row r="55" spans="1:17">
      <c r="A55" t="s">
        <v>3795</v>
      </c>
      <c r="B55" t="s">
        <v>557</v>
      </c>
      <c r="C55" t="s">
        <v>557</v>
      </c>
      <c r="E55" t="s">
        <v>557</v>
      </c>
      <c r="F55" t="s">
        <v>3796</v>
      </c>
      <c r="M55" t="s">
        <v>749</v>
      </c>
      <c r="Q55" t="s">
        <v>3376</v>
      </c>
    </row>
    <row r="56" spans="1:17">
      <c r="A56" t="s">
        <v>777</v>
      </c>
      <c r="B56" t="s">
        <v>226</v>
      </c>
      <c r="C56" t="s">
        <v>227</v>
      </c>
      <c r="E56" t="s">
        <v>1658</v>
      </c>
      <c r="F56" t="s">
        <v>778</v>
      </c>
      <c r="G56" t="s">
        <v>1702</v>
      </c>
      <c r="M56" t="s">
        <v>676</v>
      </c>
      <c r="Q56" t="s">
        <v>682</v>
      </c>
    </row>
    <row r="57" spans="1:17">
      <c r="A57" t="s">
        <v>782</v>
      </c>
      <c r="B57" t="s">
        <v>226</v>
      </c>
      <c r="C57" t="s">
        <v>227</v>
      </c>
      <c r="E57" t="s">
        <v>1658</v>
      </c>
      <c r="F57" t="s">
        <v>783</v>
      </c>
      <c r="G57" t="s">
        <v>1702</v>
      </c>
      <c r="M57" t="s">
        <v>678</v>
      </c>
      <c r="Q57" t="s">
        <v>663</v>
      </c>
    </row>
    <row r="58" spans="1:17">
      <c r="A58" t="s">
        <v>3797</v>
      </c>
      <c r="B58" t="s">
        <v>557</v>
      </c>
      <c r="C58" t="s">
        <v>557</v>
      </c>
      <c r="E58" t="s">
        <v>557</v>
      </c>
      <c r="F58" t="s">
        <v>3798</v>
      </c>
      <c r="M58" t="s">
        <v>818</v>
      </c>
      <c r="Q58" t="s">
        <v>3379</v>
      </c>
    </row>
    <row r="59" spans="1:17">
      <c r="A59" t="s">
        <v>3799</v>
      </c>
      <c r="B59" t="s">
        <v>557</v>
      </c>
      <c r="C59" t="s">
        <v>557</v>
      </c>
      <c r="E59" t="s">
        <v>557</v>
      </c>
      <c r="F59" t="s">
        <v>3800</v>
      </c>
      <c r="M59" t="s">
        <v>694</v>
      </c>
      <c r="Q59" t="s">
        <v>848</v>
      </c>
    </row>
    <row r="60" spans="1:17">
      <c r="A60" t="s">
        <v>810</v>
      </c>
      <c r="B60" t="s">
        <v>226</v>
      </c>
      <c r="C60" t="s">
        <v>227</v>
      </c>
      <c r="E60" t="s">
        <v>1658</v>
      </c>
      <c r="F60" t="s">
        <v>811</v>
      </c>
      <c r="G60" t="s">
        <v>1702</v>
      </c>
      <c r="M60" t="s">
        <v>746</v>
      </c>
      <c r="Q60" t="s">
        <v>859</v>
      </c>
    </row>
    <row r="61" spans="1:17">
      <c r="A61" t="s">
        <v>814</v>
      </c>
      <c r="B61" t="s">
        <v>226</v>
      </c>
      <c r="C61" t="s">
        <v>227</v>
      </c>
      <c r="E61" t="s">
        <v>1658</v>
      </c>
      <c r="F61" t="s">
        <v>813</v>
      </c>
      <c r="G61" t="s">
        <v>1702</v>
      </c>
      <c r="M61" t="s">
        <v>792</v>
      </c>
      <c r="Q61" t="s">
        <v>885</v>
      </c>
    </row>
    <row r="62" spans="1:17">
      <c r="A62" t="s">
        <v>817</v>
      </c>
      <c r="B62" t="s">
        <v>226</v>
      </c>
      <c r="C62" t="s">
        <v>227</v>
      </c>
      <c r="E62" t="s">
        <v>1658</v>
      </c>
      <c r="F62" t="s">
        <v>816</v>
      </c>
      <c r="G62" t="s">
        <v>1702</v>
      </c>
      <c r="M62" t="s">
        <v>684</v>
      </c>
      <c r="Q62" t="s">
        <v>3382</v>
      </c>
    </row>
    <row r="63" spans="1:17">
      <c r="A63" t="s">
        <v>820</v>
      </c>
      <c r="B63" t="s">
        <v>226</v>
      </c>
      <c r="C63" t="s">
        <v>227</v>
      </c>
      <c r="E63" t="s">
        <v>1658</v>
      </c>
      <c r="F63" t="s">
        <v>819</v>
      </c>
      <c r="G63" t="s">
        <v>1702</v>
      </c>
      <c r="M63" t="s">
        <v>864</v>
      </c>
      <c r="Q63" t="s">
        <v>889</v>
      </c>
    </row>
    <row r="64" spans="1:17">
      <c r="A64" t="s">
        <v>823</v>
      </c>
      <c r="B64" t="s">
        <v>226</v>
      </c>
      <c r="C64" t="s">
        <v>227</v>
      </c>
      <c r="E64" t="s">
        <v>1658</v>
      </c>
      <c r="F64" t="s">
        <v>822</v>
      </c>
      <c r="G64" t="s">
        <v>1702</v>
      </c>
      <c r="M64" t="s">
        <v>887</v>
      </c>
      <c r="Q64" t="s">
        <v>3385</v>
      </c>
    </row>
    <row r="65" spans="1:17">
      <c r="A65" t="s">
        <v>826</v>
      </c>
      <c r="B65" t="s">
        <v>226</v>
      </c>
      <c r="C65" t="s">
        <v>227</v>
      </c>
      <c r="E65" t="s">
        <v>1658</v>
      </c>
      <c r="F65" t="s">
        <v>827</v>
      </c>
      <c r="G65" t="s">
        <v>1702</v>
      </c>
      <c r="M65" t="s">
        <v>715</v>
      </c>
      <c r="Q65" t="s">
        <v>862</v>
      </c>
    </row>
    <row r="66" spans="1:17">
      <c r="A66" t="s">
        <v>3801</v>
      </c>
      <c r="B66" t="s">
        <v>71</v>
      </c>
      <c r="C66" t="s">
        <v>72</v>
      </c>
      <c r="E66" t="s">
        <v>557</v>
      </c>
      <c r="F66" t="s">
        <v>3802</v>
      </c>
      <c r="G66" t="s">
        <v>73</v>
      </c>
      <c r="M66" t="s">
        <v>869</v>
      </c>
      <c r="Q66" t="s">
        <v>3387</v>
      </c>
    </row>
    <row r="67" spans="1:17">
      <c r="A67" t="s">
        <v>677</v>
      </c>
      <c r="B67" t="s">
        <v>557</v>
      </c>
      <c r="C67" t="s">
        <v>557</v>
      </c>
      <c r="E67" t="s">
        <v>1656</v>
      </c>
      <c r="F67" t="s">
        <v>159</v>
      </c>
      <c r="M67" t="s">
        <v>891</v>
      </c>
      <c r="Q67" t="s">
        <v>853</v>
      </c>
    </row>
    <row r="68" spans="1:17">
      <c r="A68" t="s">
        <v>680</v>
      </c>
      <c r="B68" t="s">
        <v>557</v>
      </c>
      <c r="C68" t="s">
        <v>557</v>
      </c>
      <c r="E68" t="s">
        <v>1656</v>
      </c>
      <c r="F68" t="s">
        <v>679</v>
      </c>
      <c r="M68" t="s">
        <v>901</v>
      </c>
      <c r="Q68" t="s">
        <v>879</v>
      </c>
    </row>
    <row r="69" spans="1:17">
      <c r="A69" t="s">
        <v>698</v>
      </c>
      <c r="B69" t="s">
        <v>557</v>
      </c>
      <c r="C69" t="s">
        <v>557</v>
      </c>
      <c r="E69" t="s">
        <v>1664</v>
      </c>
      <c r="F69" t="s">
        <v>696</v>
      </c>
      <c r="M69" t="s">
        <v>897</v>
      </c>
      <c r="Q69" t="s">
        <v>689</v>
      </c>
    </row>
    <row r="70" spans="1:17">
      <c r="A70" t="s">
        <v>3803</v>
      </c>
      <c r="B70" t="s">
        <v>557</v>
      </c>
      <c r="C70" t="s">
        <v>557</v>
      </c>
      <c r="E70" t="s">
        <v>1664</v>
      </c>
      <c r="F70" t="s">
        <v>3295</v>
      </c>
      <c r="M70" t="s">
        <v>808</v>
      </c>
      <c r="Q70" t="s">
        <v>3390</v>
      </c>
    </row>
    <row r="71" spans="1:17">
      <c r="A71" t="s">
        <v>683</v>
      </c>
      <c r="B71" t="s">
        <v>557</v>
      </c>
      <c r="C71" t="s">
        <v>557</v>
      </c>
      <c r="E71" t="s">
        <v>1664</v>
      </c>
      <c r="F71" t="s">
        <v>682</v>
      </c>
      <c r="M71" t="s">
        <v>860</v>
      </c>
      <c r="Q71" t="s">
        <v>3827</v>
      </c>
    </row>
    <row r="72" spans="1:17">
      <c r="A72" t="s">
        <v>3804</v>
      </c>
      <c r="B72" t="s">
        <v>557</v>
      </c>
      <c r="C72" t="s">
        <v>557</v>
      </c>
      <c r="E72" t="s">
        <v>1664</v>
      </c>
      <c r="F72" t="s">
        <v>3805</v>
      </c>
      <c r="Q72" t="s">
        <v>3828</v>
      </c>
    </row>
    <row r="73" spans="1:17">
      <c r="A73" t="s">
        <v>3806</v>
      </c>
      <c r="B73" t="s">
        <v>557</v>
      </c>
      <c r="C73" t="s">
        <v>557</v>
      </c>
      <c r="E73" t="s">
        <v>1664</v>
      </c>
      <c r="F73" t="s">
        <v>3807</v>
      </c>
    </row>
    <row r="74" spans="1:17">
      <c r="A74" t="s">
        <v>3808</v>
      </c>
      <c r="B74" t="s">
        <v>557</v>
      </c>
      <c r="C74" t="s">
        <v>557</v>
      </c>
      <c r="E74" t="s">
        <v>1664</v>
      </c>
      <c r="F74" t="s">
        <v>3809</v>
      </c>
    </row>
    <row r="75" spans="1:17">
      <c r="A75" t="s">
        <v>3810</v>
      </c>
      <c r="B75" t="s">
        <v>557</v>
      </c>
      <c r="C75" t="s">
        <v>557</v>
      </c>
      <c r="E75" t="s">
        <v>1664</v>
      </c>
      <c r="F75" t="s">
        <v>3811</v>
      </c>
    </row>
    <row r="76" spans="1:17">
      <c r="A76" t="s">
        <v>3812</v>
      </c>
      <c r="B76" t="s">
        <v>557</v>
      </c>
      <c r="C76" t="s">
        <v>557</v>
      </c>
      <c r="E76" t="s">
        <v>1664</v>
      </c>
      <c r="F76" t="s">
        <v>3813</v>
      </c>
    </row>
    <row r="77" spans="1:17">
      <c r="A77" t="s">
        <v>839</v>
      </c>
      <c r="B77" t="s">
        <v>557</v>
      </c>
      <c r="C77" t="s">
        <v>557</v>
      </c>
      <c r="E77" t="s">
        <v>1664</v>
      </c>
      <c r="F77" t="s">
        <v>3814</v>
      </c>
    </row>
    <row r="78" spans="1:17">
      <c r="A78" t="s">
        <v>3815</v>
      </c>
      <c r="B78" t="s">
        <v>557</v>
      </c>
      <c r="C78" t="s">
        <v>557</v>
      </c>
      <c r="E78" t="s">
        <v>1664</v>
      </c>
      <c r="F78" t="s">
        <v>3816</v>
      </c>
    </row>
    <row r="79" spans="1:17">
      <c r="A79" t="s">
        <v>843</v>
      </c>
      <c r="B79" t="s">
        <v>557</v>
      </c>
      <c r="C79" t="s">
        <v>557</v>
      </c>
      <c r="E79" t="s">
        <v>1664</v>
      </c>
      <c r="F79" t="s">
        <v>842</v>
      </c>
    </row>
    <row r="80" spans="1:17">
      <c r="A80" t="s">
        <v>846</v>
      </c>
      <c r="B80" t="s">
        <v>557</v>
      </c>
      <c r="C80" t="s">
        <v>557</v>
      </c>
      <c r="E80" t="s">
        <v>1664</v>
      </c>
      <c r="F80" t="s">
        <v>845</v>
      </c>
    </row>
    <row r="81" spans="1:8">
      <c r="A81" t="s">
        <v>686</v>
      </c>
      <c r="B81" t="s">
        <v>557</v>
      </c>
      <c r="C81" t="s">
        <v>557</v>
      </c>
      <c r="E81" t="s">
        <v>557</v>
      </c>
      <c r="F81" t="s">
        <v>687</v>
      </c>
    </row>
    <row r="82" spans="1:8">
      <c r="A82" t="s">
        <v>858</v>
      </c>
      <c r="B82" t="s">
        <v>416</v>
      </c>
      <c r="C82" t="s">
        <v>417</v>
      </c>
      <c r="E82" t="s">
        <v>859</v>
      </c>
      <c r="F82" t="s">
        <v>859</v>
      </c>
      <c r="G82" t="s">
        <v>3286</v>
      </c>
    </row>
    <row r="83" spans="1:8">
      <c r="A83" t="s">
        <v>3817</v>
      </c>
      <c r="B83" t="s">
        <v>557</v>
      </c>
      <c r="C83" t="s">
        <v>557</v>
      </c>
      <c r="E83" t="s">
        <v>557</v>
      </c>
      <c r="F83" t="s">
        <v>3818</v>
      </c>
      <c r="H83" t="s">
        <v>3819</v>
      </c>
    </row>
    <row r="84" spans="1:8">
      <c r="A84" t="s">
        <v>886</v>
      </c>
      <c r="B84" t="s">
        <v>422</v>
      </c>
      <c r="C84" t="s">
        <v>423</v>
      </c>
      <c r="E84" t="s">
        <v>885</v>
      </c>
      <c r="F84" t="s">
        <v>885</v>
      </c>
      <c r="G84" t="s">
        <v>3772</v>
      </c>
    </row>
    <row r="85" spans="1:8">
      <c r="A85" t="s">
        <v>863</v>
      </c>
      <c r="B85" t="s">
        <v>416</v>
      </c>
      <c r="C85" t="s">
        <v>417</v>
      </c>
      <c r="E85" t="s">
        <v>862</v>
      </c>
      <c r="F85" t="s">
        <v>862</v>
      </c>
      <c r="G85" t="s">
        <v>3286</v>
      </c>
    </row>
    <row r="86" spans="1:8">
      <c r="A86" t="s">
        <v>890</v>
      </c>
      <c r="B86" t="s">
        <v>422</v>
      </c>
      <c r="C86" t="s">
        <v>423</v>
      </c>
      <c r="E86" t="s">
        <v>3820</v>
      </c>
      <c r="F86" t="s">
        <v>889</v>
      </c>
      <c r="G86" t="s">
        <v>3772</v>
      </c>
    </row>
    <row r="87" spans="1:8">
      <c r="A87" t="s">
        <v>867</v>
      </c>
      <c r="B87" t="s">
        <v>416</v>
      </c>
      <c r="C87" t="s">
        <v>417</v>
      </c>
      <c r="E87" t="s">
        <v>3820</v>
      </c>
      <c r="F87" t="s">
        <v>868</v>
      </c>
      <c r="G87" t="s">
        <v>3286</v>
      </c>
    </row>
    <row r="88" spans="1:8">
      <c r="A88" t="s">
        <v>872</v>
      </c>
      <c r="B88" t="s">
        <v>416</v>
      </c>
      <c r="C88" t="s">
        <v>417</v>
      </c>
      <c r="E88" t="s">
        <v>859</v>
      </c>
      <c r="F88" t="s">
        <v>873</v>
      </c>
      <c r="G88" t="s">
        <v>3286</v>
      </c>
    </row>
    <row r="89" spans="1:8">
      <c r="A89" t="s">
        <v>3821</v>
      </c>
      <c r="B89" t="s">
        <v>422</v>
      </c>
      <c r="C89" t="s">
        <v>423</v>
      </c>
      <c r="E89" t="s">
        <v>3758</v>
      </c>
      <c r="F89" t="s">
        <v>3822</v>
      </c>
      <c r="G89" t="s">
        <v>3772</v>
      </c>
    </row>
    <row r="90" spans="1:8">
      <c r="A90" t="s">
        <v>728</v>
      </c>
      <c r="B90" t="s">
        <v>77</v>
      </c>
      <c r="C90" t="s">
        <v>78</v>
      </c>
      <c r="D90" t="s">
        <v>3823</v>
      </c>
      <c r="E90" t="s">
        <v>1658</v>
      </c>
      <c r="F90" t="s">
        <v>727</v>
      </c>
      <c r="G90" t="s">
        <v>3284</v>
      </c>
    </row>
    <row r="91" spans="1:8">
      <c r="A91" t="s">
        <v>688</v>
      </c>
      <c r="B91" t="s">
        <v>557</v>
      </c>
      <c r="C91" t="s">
        <v>557</v>
      </c>
      <c r="E91" t="s">
        <v>557</v>
      </c>
      <c r="F91" t="s">
        <v>689</v>
      </c>
    </row>
    <row r="92" spans="1:8">
      <c r="A92" t="s">
        <v>895</v>
      </c>
      <c r="B92" t="s">
        <v>557</v>
      </c>
      <c r="C92" t="s">
        <v>557</v>
      </c>
      <c r="E92" t="s">
        <v>3766</v>
      </c>
      <c r="F92" t="s">
        <v>896</v>
      </c>
    </row>
    <row r="93" spans="1:8">
      <c r="A93" t="s">
        <v>3824</v>
      </c>
      <c r="B93" t="s">
        <v>557</v>
      </c>
      <c r="C93" t="s">
        <v>557</v>
      </c>
      <c r="E93" t="s">
        <v>557</v>
      </c>
      <c r="F93" t="s">
        <v>3825</v>
      </c>
    </row>
    <row r="94" spans="1:8">
      <c r="A94" t="s">
        <v>899</v>
      </c>
      <c r="B94" t="s">
        <v>557</v>
      </c>
      <c r="C94" t="s">
        <v>557</v>
      </c>
      <c r="E94" t="s">
        <v>3766</v>
      </c>
      <c r="F94" t="s">
        <v>900</v>
      </c>
    </row>
    <row r="95" spans="1:8">
      <c r="A95" t="s">
        <v>903</v>
      </c>
      <c r="B95" t="s">
        <v>557</v>
      </c>
      <c r="C95" t="s">
        <v>557</v>
      </c>
      <c r="E95" t="s">
        <v>3766</v>
      </c>
      <c r="F95" t="s">
        <v>904</v>
      </c>
    </row>
    <row r="96" spans="1:8">
      <c r="A96" t="s">
        <v>692</v>
      </c>
      <c r="B96" t="s">
        <v>557</v>
      </c>
      <c r="C96" t="s">
        <v>557</v>
      </c>
      <c r="E96" t="s">
        <v>557</v>
      </c>
      <c r="F96" t="s">
        <v>693</v>
      </c>
      <c r="H96" t="s">
        <v>3826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C39"/>
  <sheetViews>
    <sheetView zoomScaleNormal="100" workbookViewId="0">
      <pane ySplit="2" topLeftCell="A3" activePane="bottomLeft" state="frozen"/>
      <selection pane="bottomLeft" activeCell="F32" sqref="F32"/>
    </sheetView>
  </sheetViews>
  <sheetFormatPr defaultColWidth="10.6640625" defaultRowHeight="13.8"/>
  <cols>
    <col min="1" max="1" width="27.44140625" customWidth="1"/>
    <col min="2" max="2" width="50.5546875" customWidth="1"/>
  </cols>
  <sheetData>
    <row r="2" spans="1:3" ht="14.4">
      <c r="A2" s="2" t="s">
        <v>3829</v>
      </c>
      <c r="B2" s="2" t="s">
        <v>3153</v>
      </c>
      <c r="C2" s="2" t="s">
        <v>558</v>
      </c>
    </row>
    <row r="3" spans="1:3">
      <c r="A3" t="s">
        <v>3500</v>
      </c>
      <c r="B3" t="s">
        <v>3830</v>
      </c>
      <c r="C3" t="s">
        <v>3831</v>
      </c>
    </row>
    <row r="4" spans="1:3">
      <c r="A4" t="s">
        <v>65</v>
      </c>
      <c r="B4" t="s">
        <v>3158</v>
      </c>
      <c r="C4" t="s">
        <v>3246</v>
      </c>
    </row>
    <row r="5" spans="1:3">
      <c r="A5" t="s">
        <v>3578</v>
      </c>
      <c r="B5" t="s">
        <v>3147</v>
      </c>
      <c r="C5" t="s">
        <v>3832</v>
      </c>
    </row>
    <row r="6" spans="1:3">
      <c r="A6" t="s">
        <v>3602</v>
      </c>
      <c r="B6" t="s">
        <v>3833</v>
      </c>
      <c r="C6" t="s">
        <v>3834</v>
      </c>
    </row>
    <row r="7" spans="1:3">
      <c r="A7" t="s">
        <v>3475</v>
      </c>
      <c r="B7" t="s">
        <v>3835</v>
      </c>
      <c r="C7" t="s">
        <v>3836</v>
      </c>
    </row>
    <row r="8" spans="1:3">
      <c r="A8" t="s">
        <v>3163</v>
      </c>
      <c r="B8" t="s">
        <v>3837</v>
      </c>
      <c r="C8" t="s">
        <v>3838</v>
      </c>
    </row>
    <row r="9" spans="1:3">
      <c r="A9" t="s">
        <v>3166</v>
      </c>
      <c r="B9" t="s">
        <v>3839</v>
      </c>
      <c r="C9" t="s">
        <v>582</v>
      </c>
    </row>
    <row r="10" spans="1:3">
      <c r="A10" t="s">
        <v>210</v>
      </c>
      <c r="B10" t="s">
        <v>3294</v>
      </c>
      <c r="C10" t="s">
        <v>583</v>
      </c>
    </row>
    <row r="11" spans="1:3">
      <c r="A11" t="s">
        <v>3488</v>
      </c>
      <c r="B11" t="s">
        <v>3840</v>
      </c>
      <c r="C11" t="s">
        <v>3841</v>
      </c>
    </row>
    <row r="12" spans="1:3">
      <c r="A12" t="s">
        <v>223</v>
      </c>
      <c r="B12" t="s">
        <v>225</v>
      </c>
      <c r="C12" t="s">
        <v>3842</v>
      </c>
    </row>
    <row r="13" spans="1:3">
      <c r="A13" t="s">
        <v>226</v>
      </c>
      <c r="B13" t="s">
        <v>1702</v>
      </c>
      <c r="C13" t="s">
        <v>3843</v>
      </c>
    </row>
    <row r="14" spans="1:3">
      <c r="A14" t="s">
        <v>3462</v>
      </c>
      <c r="B14" t="s">
        <v>3844</v>
      </c>
      <c r="C14" t="s">
        <v>3845</v>
      </c>
    </row>
    <row r="15" spans="1:3">
      <c r="A15" t="s">
        <v>3485</v>
      </c>
      <c r="B15" t="s">
        <v>3846</v>
      </c>
      <c r="C15" t="s">
        <v>3847</v>
      </c>
    </row>
    <row r="16" spans="1:3">
      <c r="A16" t="s">
        <v>3176</v>
      </c>
      <c r="B16" t="s">
        <v>1711</v>
      </c>
      <c r="C16" t="s">
        <v>590</v>
      </c>
    </row>
    <row r="17" spans="1:3">
      <c r="A17" t="s">
        <v>3469</v>
      </c>
      <c r="B17" t="s">
        <v>3848</v>
      </c>
      <c r="C17" t="s">
        <v>3849</v>
      </c>
    </row>
    <row r="18" spans="1:3">
      <c r="A18" t="s">
        <v>3480</v>
      </c>
      <c r="B18" t="s">
        <v>3850</v>
      </c>
      <c r="C18" t="s">
        <v>3851</v>
      </c>
    </row>
    <row r="19" spans="1:3">
      <c r="A19" t="s">
        <v>332</v>
      </c>
      <c r="B19" t="s">
        <v>3289</v>
      </c>
      <c r="C19" t="s">
        <v>3852</v>
      </c>
    </row>
    <row r="20" spans="1:3">
      <c r="A20" t="s">
        <v>3472</v>
      </c>
      <c r="B20" t="s">
        <v>376</v>
      </c>
      <c r="C20" t="s">
        <v>3853</v>
      </c>
    </row>
    <row r="21" spans="1:3">
      <c r="A21" t="s">
        <v>3491</v>
      </c>
      <c r="B21" t="s">
        <v>3240</v>
      </c>
      <c r="C21" t="s">
        <v>3854</v>
      </c>
    </row>
    <row r="22" spans="1:3">
      <c r="A22" t="s">
        <v>3503</v>
      </c>
      <c r="B22" t="s">
        <v>3855</v>
      </c>
      <c r="C22" t="s">
        <v>3856</v>
      </c>
    </row>
    <row r="23" spans="1:3">
      <c r="A23" t="s">
        <v>416</v>
      </c>
      <c r="B23" t="s">
        <v>3286</v>
      </c>
      <c r="C23" t="s">
        <v>3857</v>
      </c>
    </row>
    <row r="24" spans="1:3">
      <c r="A24" t="s">
        <v>419</v>
      </c>
      <c r="B24" t="s">
        <v>3287</v>
      </c>
      <c r="C24" t="s">
        <v>3858</v>
      </c>
    </row>
    <row r="25" spans="1:3">
      <c r="A25" t="s">
        <v>422</v>
      </c>
      <c r="B25" t="s">
        <v>3772</v>
      </c>
      <c r="C25" t="s">
        <v>3859</v>
      </c>
    </row>
    <row r="26" spans="1:3">
      <c r="A26" t="s">
        <v>431</v>
      </c>
      <c r="B26" t="s">
        <v>3860</v>
      </c>
      <c r="C26" t="s">
        <v>610</v>
      </c>
    </row>
    <row r="27" spans="1:3">
      <c r="A27" t="s">
        <v>443</v>
      </c>
      <c r="B27" t="s">
        <v>3861</v>
      </c>
      <c r="C27" t="s">
        <v>3862</v>
      </c>
    </row>
    <row r="28" spans="1:3">
      <c r="A28" t="s">
        <v>443</v>
      </c>
      <c r="B28" t="s">
        <v>3863</v>
      </c>
      <c r="C28" t="s">
        <v>3864</v>
      </c>
    </row>
    <row r="29" spans="1:3">
      <c r="A29" t="s">
        <v>446</v>
      </c>
      <c r="B29" t="s">
        <v>3203</v>
      </c>
      <c r="C29" t="s">
        <v>615</v>
      </c>
    </row>
    <row r="30" spans="1:3">
      <c r="A30" t="s">
        <v>449</v>
      </c>
      <c r="B30" t="s">
        <v>3204</v>
      </c>
      <c r="C30" t="s">
        <v>616</v>
      </c>
    </row>
    <row r="31" spans="1:3">
      <c r="A31" t="s">
        <v>512</v>
      </c>
      <c r="B31" t="s">
        <v>3865</v>
      </c>
      <c r="C31" t="s">
        <v>637</v>
      </c>
    </row>
    <row r="32" spans="1:3">
      <c r="A32" t="s">
        <v>3671</v>
      </c>
    </row>
    <row r="33" spans="1:1">
      <c r="A33" t="s">
        <v>3637</v>
      </c>
    </row>
    <row r="34" spans="1:1">
      <c r="A34" t="s">
        <v>553</v>
      </c>
    </row>
    <row r="35" spans="1:1">
      <c r="A35" t="s">
        <v>3617</v>
      </c>
    </row>
    <row r="36" spans="1:1">
      <c r="A36" t="s">
        <v>543</v>
      </c>
    </row>
    <row r="37" spans="1:1">
      <c r="A37" t="s">
        <v>3620</v>
      </c>
    </row>
    <row r="38" spans="1:1">
      <c r="A38" t="s">
        <v>555</v>
      </c>
    </row>
    <row r="39" spans="1:1">
      <c r="A39" t="s">
        <v>3562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D6"/>
  <sheetViews>
    <sheetView zoomScaleNormal="100" workbookViewId="0">
      <pane ySplit="2" topLeftCell="A3" activePane="bottomLeft" state="frozen"/>
      <selection pane="bottomLeft" activeCell="D26" sqref="D26"/>
    </sheetView>
  </sheetViews>
  <sheetFormatPr defaultColWidth="10.6640625" defaultRowHeight="13.8"/>
  <cols>
    <col min="4" max="4" width="84.109375" customWidth="1"/>
  </cols>
  <sheetData>
    <row r="2" spans="1:4" ht="14.4">
      <c r="A2" s="5" t="s">
        <v>3866</v>
      </c>
      <c r="B2" s="5" t="s">
        <v>3867</v>
      </c>
      <c r="C2" s="5" t="s">
        <v>3868</v>
      </c>
      <c r="D2" s="5" t="s">
        <v>3869</v>
      </c>
    </row>
    <row r="3" spans="1:4">
      <c r="A3" t="s">
        <v>1666</v>
      </c>
      <c r="B3" t="s">
        <v>557</v>
      </c>
      <c r="C3" t="s">
        <v>557</v>
      </c>
      <c r="D3" t="s">
        <v>1667</v>
      </c>
    </row>
    <row r="4" spans="1:4">
      <c r="A4" t="s">
        <v>1668</v>
      </c>
      <c r="B4" t="s">
        <v>443</v>
      </c>
      <c r="C4" t="s">
        <v>226</v>
      </c>
      <c r="D4" t="s">
        <v>1669</v>
      </c>
    </row>
    <row r="5" spans="1:4">
      <c r="A5" t="s">
        <v>1670</v>
      </c>
      <c r="B5" t="s">
        <v>446</v>
      </c>
      <c r="C5" t="s">
        <v>226</v>
      </c>
      <c r="D5" t="s">
        <v>1671</v>
      </c>
    </row>
    <row r="6" spans="1:4">
      <c r="A6" t="s">
        <v>1672</v>
      </c>
      <c r="B6" t="s">
        <v>449</v>
      </c>
      <c r="C6" t="s">
        <v>226</v>
      </c>
      <c r="D6" t="s">
        <v>1673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L216"/>
  <sheetViews>
    <sheetView zoomScaleNormal="100" workbookViewId="0">
      <pane ySplit="2" topLeftCell="A3" activePane="bottomLeft" state="frozen"/>
      <selection pane="bottomLeft" activeCell="H22" sqref="H22"/>
    </sheetView>
  </sheetViews>
  <sheetFormatPr defaultColWidth="10.6640625" defaultRowHeight="13.8"/>
  <cols>
    <col min="6" max="6" width="14.5546875" customWidth="1"/>
    <col min="7" max="7" width="17.5546875" customWidth="1"/>
    <col min="8" max="8" width="15.33203125" customWidth="1"/>
    <col min="9" max="9" width="11.88671875" customWidth="1"/>
    <col min="10" max="10" width="26" customWidth="1"/>
    <col min="11" max="11" width="23.77734375" customWidth="1"/>
    <col min="12" max="12" width="82.88671875" customWidth="1"/>
  </cols>
  <sheetData>
    <row r="2" spans="1:12" ht="14.4">
      <c r="A2" s="2" t="s">
        <v>1</v>
      </c>
      <c r="B2" s="2" t="s">
        <v>558</v>
      </c>
      <c r="C2" s="2" t="s">
        <v>2</v>
      </c>
      <c r="D2" s="2" t="s">
        <v>3870</v>
      </c>
      <c r="E2" s="2" t="s">
        <v>3871</v>
      </c>
      <c r="F2" s="2" t="s">
        <v>3872</v>
      </c>
      <c r="G2" s="2" t="s">
        <v>3873</v>
      </c>
      <c r="H2" s="2" t="s">
        <v>3829</v>
      </c>
      <c r="I2" s="2" t="s">
        <v>3874</v>
      </c>
      <c r="J2" s="2" t="s">
        <v>3</v>
      </c>
      <c r="K2" s="2" t="s">
        <v>4</v>
      </c>
      <c r="L2" s="2" t="s">
        <v>3875</v>
      </c>
    </row>
    <row r="3" spans="1:12">
      <c r="A3" t="s">
        <v>5</v>
      </c>
      <c r="B3" t="s">
        <v>561</v>
      </c>
      <c r="C3" t="str">
        <f>VLOOKUP(A3,new!$A$2:$B$192,2,FALSE())</f>
        <v>RM001</v>
      </c>
      <c r="D3" t="s">
        <v>561</v>
      </c>
      <c r="E3" t="s">
        <v>561</v>
      </c>
      <c r="F3" t="s">
        <v>561</v>
      </c>
      <c r="G3" t="s">
        <v>3876</v>
      </c>
      <c r="H3" t="s">
        <v>3500</v>
      </c>
      <c r="I3" t="s">
        <v>557</v>
      </c>
      <c r="J3" t="s">
        <v>7</v>
      </c>
      <c r="K3" t="s">
        <v>7</v>
      </c>
      <c r="L3" t="s">
        <v>7</v>
      </c>
    </row>
    <row r="4" spans="1:12">
      <c r="A4" t="s">
        <v>8</v>
      </c>
      <c r="B4" t="s">
        <v>561</v>
      </c>
      <c r="C4" t="str">
        <f>VLOOKUP(A4,new!$A$2:$B$192,2,FALSE())</f>
        <v>RM002</v>
      </c>
      <c r="D4" t="s">
        <v>561</v>
      </c>
      <c r="E4" t="s">
        <v>561</v>
      </c>
      <c r="F4" t="s">
        <v>561</v>
      </c>
      <c r="G4" t="s">
        <v>3876</v>
      </c>
      <c r="H4" t="s">
        <v>3500</v>
      </c>
      <c r="I4" t="s">
        <v>557</v>
      </c>
      <c r="J4" t="s">
        <v>10</v>
      </c>
      <c r="K4" t="s">
        <v>10</v>
      </c>
      <c r="L4" t="s">
        <v>3877</v>
      </c>
    </row>
    <row r="5" spans="1:12">
      <c r="A5" t="s">
        <v>11</v>
      </c>
      <c r="B5" t="s">
        <v>561</v>
      </c>
      <c r="C5" t="str">
        <f>VLOOKUP(A5,new!$A$2:$B$192,2,FALSE())</f>
        <v>RM003</v>
      </c>
      <c r="D5" t="s">
        <v>561</v>
      </c>
      <c r="E5" t="s">
        <v>561</v>
      </c>
      <c r="F5" t="s">
        <v>561</v>
      </c>
      <c r="G5" t="s">
        <v>3876</v>
      </c>
      <c r="H5" t="s">
        <v>3500</v>
      </c>
      <c r="I5" t="s">
        <v>557</v>
      </c>
      <c r="J5" t="s">
        <v>13</v>
      </c>
      <c r="K5" t="s">
        <v>562</v>
      </c>
      <c r="L5" t="s">
        <v>3256</v>
      </c>
    </row>
    <row r="6" spans="1:12">
      <c r="A6" t="s">
        <v>15</v>
      </c>
      <c r="B6" t="s">
        <v>561</v>
      </c>
      <c r="C6" t="str">
        <f>VLOOKUP(A6,new!$A$2:$B$192,2,FALSE())</f>
        <v>RM004</v>
      </c>
      <c r="D6" t="s">
        <v>561</v>
      </c>
      <c r="E6" t="s">
        <v>561</v>
      </c>
      <c r="F6" t="s">
        <v>561</v>
      </c>
      <c r="G6" t="s">
        <v>3876</v>
      </c>
      <c r="H6" t="s">
        <v>3500</v>
      </c>
      <c r="I6" t="s">
        <v>557</v>
      </c>
      <c r="J6" t="s">
        <v>17</v>
      </c>
      <c r="K6" t="s">
        <v>17</v>
      </c>
      <c r="L6" t="s">
        <v>3254</v>
      </c>
    </row>
    <row r="7" spans="1:12">
      <c r="A7" t="s">
        <v>18</v>
      </c>
      <c r="B7" t="s">
        <v>561</v>
      </c>
      <c r="C7" t="str">
        <f>VLOOKUP(A7,new!$A$2:$B$192,2,FALSE())</f>
        <v>RM005</v>
      </c>
      <c r="D7" t="s">
        <v>561</v>
      </c>
      <c r="E7" t="s">
        <v>561</v>
      </c>
      <c r="F7" t="s">
        <v>561</v>
      </c>
      <c r="G7" t="s">
        <v>3876</v>
      </c>
      <c r="H7" t="s">
        <v>3500</v>
      </c>
      <c r="I7" t="s">
        <v>557</v>
      </c>
      <c r="J7" t="s">
        <v>20</v>
      </c>
      <c r="K7" t="s">
        <v>20</v>
      </c>
      <c r="L7" t="s">
        <v>3253</v>
      </c>
    </row>
    <row r="8" spans="1:12">
      <c r="A8" t="s">
        <v>21</v>
      </c>
      <c r="B8" t="s">
        <v>561</v>
      </c>
      <c r="C8" t="str">
        <f>VLOOKUP(A8,new!$A$2:$B$192,2,FALSE())</f>
        <v>RM006</v>
      </c>
      <c r="D8" t="s">
        <v>561</v>
      </c>
      <c r="E8" t="s">
        <v>561</v>
      </c>
      <c r="F8" t="s">
        <v>561</v>
      </c>
      <c r="G8" t="s">
        <v>3876</v>
      </c>
      <c r="H8" t="s">
        <v>3500</v>
      </c>
      <c r="I8" t="s">
        <v>557</v>
      </c>
      <c r="J8" t="s">
        <v>23</v>
      </c>
      <c r="K8" t="s">
        <v>23</v>
      </c>
      <c r="L8" t="s">
        <v>3258</v>
      </c>
    </row>
    <row r="9" spans="1:12">
      <c r="A9" t="s">
        <v>24</v>
      </c>
      <c r="B9" t="s">
        <v>561</v>
      </c>
      <c r="C9" t="str">
        <f>VLOOKUP(A9,new!$A$2:$B$192,2,FALSE())</f>
        <v>RM007</v>
      </c>
      <c r="D9" t="s">
        <v>561</v>
      </c>
      <c r="E9" t="s">
        <v>561</v>
      </c>
      <c r="F9" t="s">
        <v>561</v>
      </c>
      <c r="G9" t="s">
        <v>3876</v>
      </c>
      <c r="H9" t="s">
        <v>3500</v>
      </c>
      <c r="I9" t="s">
        <v>557</v>
      </c>
      <c r="J9" t="s">
        <v>26</v>
      </c>
      <c r="K9" t="s">
        <v>26</v>
      </c>
      <c r="L9" t="s">
        <v>1661</v>
      </c>
    </row>
    <row r="10" spans="1:12">
      <c r="A10" t="s">
        <v>27</v>
      </c>
      <c r="B10" t="s">
        <v>561</v>
      </c>
      <c r="C10" t="str">
        <f>VLOOKUP(A10,new!$A$2:$B$192,2,FALSE())</f>
        <v>RM008</v>
      </c>
      <c r="D10" t="s">
        <v>561</v>
      </c>
      <c r="E10" t="s">
        <v>561</v>
      </c>
      <c r="F10" t="s">
        <v>561</v>
      </c>
      <c r="G10" t="s">
        <v>3876</v>
      </c>
      <c r="H10" t="s">
        <v>3500</v>
      </c>
      <c r="I10" t="s">
        <v>557</v>
      </c>
      <c r="J10" t="s">
        <v>29</v>
      </c>
      <c r="K10" t="s">
        <v>29</v>
      </c>
      <c r="L10" t="s">
        <v>29</v>
      </c>
    </row>
    <row r="11" spans="1:12">
      <c r="A11" t="s">
        <v>30</v>
      </c>
      <c r="B11" t="s">
        <v>561</v>
      </c>
      <c r="C11" t="str">
        <f>VLOOKUP(A11,new!$A$2:$B$192,2,FALSE())</f>
        <v>RM009</v>
      </c>
      <c r="D11" t="s">
        <v>561</v>
      </c>
      <c r="E11" t="s">
        <v>561</v>
      </c>
      <c r="F11" t="s">
        <v>561</v>
      </c>
      <c r="G11" t="s">
        <v>3876</v>
      </c>
      <c r="H11" t="s">
        <v>3500</v>
      </c>
      <c r="I11" t="s">
        <v>557</v>
      </c>
      <c r="J11" t="s">
        <v>32</v>
      </c>
      <c r="K11" t="s">
        <v>32</v>
      </c>
      <c r="L11" t="s">
        <v>3259</v>
      </c>
    </row>
    <row r="12" spans="1:12">
      <c r="A12" t="s">
        <v>33</v>
      </c>
      <c r="B12" t="s">
        <v>561</v>
      </c>
      <c r="C12" t="str">
        <f>VLOOKUP(A12,new!$A$2:$B$192,2,FALSE())</f>
        <v>RM010</v>
      </c>
      <c r="D12" t="s">
        <v>561</v>
      </c>
      <c r="E12" t="s">
        <v>561</v>
      </c>
      <c r="F12" t="s">
        <v>561</v>
      </c>
      <c r="G12" t="s">
        <v>3876</v>
      </c>
      <c r="H12" t="s">
        <v>3500</v>
      </c>
      <c r="I12" t="s">
        <v>557</v>
      </c>
      <c r="J12" t="s">
        <v>35</v>
      </c>
      <c r="K12" t="s">
        <v>35</v>
      </c>
      <c r="L12" t="s">
        <v>35</v>
      </c>
    </row>
    <row r="13" spans="1:12">
      <c r="A13" t="s">
        <v>36</v>
      </c>
      <c r="B13" t="s">
        <v>561</v>
      </c>
      <c r="C13" t="str">
        <f>VLOOKUP(A13,new!$A$2:$B$192,2,FALSE())</f>
        <v>RM011</v>
      </c>
      <c r="D13" t="s">
        <v>561</v>
      </c>
      <c r="E13" t="s">
        <v>561</v>
      </c>
      <c r="F13" t="s">
        <v>561</v>
      </c>
      <c r="G13" t="s">
        <v>3876</v>
      </c>
      <c r="H13" t="s">
        <v>3500</v>
      </c>
      <c r="I13" t="s">
        <v>557</v>
      </c>
      <c r="J13" t="s">
        <v>38</v>
      </c>
      <c r="K13" t="s">
        <v>38</v>
      </c>
      <c r="L13" t="s">
        <v>3251</v>
      </c>
    </row>
    <row r="14" spans="1:12">
      <c r="A14" t="s">
        <v>39</v>
      </c>
      <c r="B14" t="s">
        <v>561</v>
      </c>
      <c r="C14" t="str">
        <f>VLOOKUP(A14,new!$A$2:$B$192,2,FALSE())</f>
        <v>RM012</v>
      </c>
      <c r="D14" t="s">
        <v>561</v>
      </c>
      <c r="E14" t="s">
        <v>561</v>
      </c>
      <c r="F14" t="s">
        <v>561</v>
      </c>
      <c r="G14" t="s">
        <v>3878</v>
      </c>
      <c r="H14" t="s">
        <v>3500</v>
      </c>
      <c r="I14" t="s">
        <v>557</v>
      </c>
      <c r="J14" t="s">
        <v>41</v>
      </c>
      <c r="K14" t="s">
        <v>41</v>
      </c>
      <c r="L14" t="s">
        <v>3879</v>
      </c>
    </row>
    <row r="15" spans="1:12">
      <c r="A15" t="s">
        <v>42</v>
      </c>
      <c r="B15" t="s">
        <v>561</v>
      </c>
      <c r="C15" t="str">
        <f>VLOOKUP(A15,new!$A$2:$B$192,2,FALSE())</f>
        <v>RM013</v>
      </c>
      <c r="D15" t="s">
        <v>561</v>
      </c>
      <c r="E15" t="s">
        <v>561</v>
      </c>
      <c r="F15" t="s">
        <v>561</v>
      </c>
      <c r="G15" t="s">
        <v>3878</v>
      </c>
      <c r="H15" t="s">
        <v>3500</v>
      </c>
      <c r="I15" t="s">
        <v>557</v>
      </c>
      <c r="J15" t="s">
        <v>44</v>
      </c>
      <c r="K15" t="s">
        <v>44</v>
      </c>
      <c r="L15" t="s">
        <v>3252</v>
      </c>
    </row>
    <row r="16" spans="1:12">
      <c r="A16" t="s">
        <v>45</v>
      </c>
      <c r="B16" t="s">
        <v>561</v>
      </c>
      <c r="C16" t="str">
        <f>VLOOKUP(A16,new!$A$2:$B$192,2,FALSE())</f>
        <v>RM014</v>
      </c>
      <c r="D16" t="s">
        <v>561</v>
      </c>
      <c r="E16" t="s">
        <v>561</v>
      </c>
      <c r="F16" t="s">
        <v>561</v>
      </c>
      <c r="G16" t="s">
        <v>3878</v>
      </c>
      <c r="H16" t="s">
        <v>3500</v>
      </c>
      <c r="I16" t="s">
        <v>557</v>
      </c>
      <c r="J16" t="s">
        <v>47</v>
      </c>
      <c r="K16" t="s">
        <v>47</v>
      </c>
      <c r="L16" t="s">
        <v>3244</v>
      </c>
    </row>
    <row r="17" spans="1:12">
      <c r="A17" t="s">
        <v>48</v>
      </c>
      <c r="B17" t="s">
        <v>561</v>
      </c>
      <c r="C17" t="str">
        <f>VLOOKUP(A17,new!$A$2:$B$192,2,FALSE())</f>
        <v>RM015</v>
      </c>
      <c r="D17" t="s">
        <v>561</v>
      </c>
      <c r="E17" t="s">
        <v>561</v>
      </c>
      <c r="F17" t="s">
        <v>561</v>
      </c>
      <c r="G17" t="s">
        <v>3878</v>
      </c>
      <c r="H17" t="s">
        <v>3500</v>
      </c>
      <c r="I17" t="s">
        <v>557</v>
      </c>
      <c r="J17" t="s">
        <v>50</v>
      </c>
      <c r="K17" t="s">
        <v>50</v>
      </c>
      <c r="L17" t="s">
        <v>3243</v>
      </c>
    </row>
    <row r="18" spans="1:12">
      <c r="A18" t="s">
        <v>51</v>
      </c>
      <c r="B18" t="s">
        <v>561</v>
      </c>
      <c r="C18" t="str">
        <f>VLOOKUP(A18,new!$A$2:$B$192,2,FALSE())</f>
        <v>RM016</v>
      </c>
      <c r="D18" t="s">
        <v>561</v>
      </c>
      <c r="E18" t="s">
        <v>561</v>
      </c>
      <c r="F18" t="s">
        <v>561</v>
      </c>
      <c r="G18" t="s">
        <v>3878</v>
      </c>
      <c r="H18" t="s">
        <v>3500</v>
      </c>
      <c r="I18" t="s">
        <v>557</v>
      </c>
      <c r="J18" t="s">
        <v>53</v>
      </c>
      <c r="K18" t="s">
        <v>53</v>
      </c>
      <c r="L18" t="s">
        <v>3245</v>
      </c>
    </row>
    <row r="19" spans="1:12">
      <c r="A19" t="s">
        <v>54</v>
      </c>
      <c r="B19" t="s">
        <v>561</v>
      </c>
      <c r="C19" t="str">
        <f>VLOOKUP(A19,new!$A$2:$B$192,2,FALSE())</f>
        <v>RM017</v>
      </c>
      <c r="D19" t="s">
        <v>561</v>
      </c>
      <c r="E19" t="s">
        <v>561</v>
      </c>
      <c r="F19" t="s">
        <v>561</v>
      </c>
      <c r="G19" t="s">
        <v>3878</v>
      </c>
      <c r="H19" t="s">
        <v>3500</v>
      </c>
      <c r="I19" t="s">
        <v>557</v>
      </c>
      <c r="J19" t="s">
        <v>56</v>
      </c>
      <c r="K19" t="s">
        <v>56</v>
      </c>
      <c r="L19" t="s">
        <v>3249</v>
      </c>
    </row>
    <row r="20" spans="1:12">
      <c r="A20" t="s">
        <v>57</v>
      </c>
      <c r="B20" t="s">
        <v>561</v>
      </c>
      <c r="C20" t="str">
        <f>VLOOKUP(A20,new!$A$2:$B$192,2,FALSE())</f>
        <v>RM018</v>
      </c>
      <c r="D20" t="s">
        <v>561</v>
      </c>
      <c r="E20" t="s">
        <v>561</v>
      </c>
      <c r="F20" t="s">
        <v>561</v>
      </c>
      <c r="G20" t="s">
        <v>3880</v>
      </c>
      <c r="H20" t="s">
        <v>3500</v>
      </c>
      <c r="I20" t="s">
        <v>557</v>
      </c>
      <c r="J20" t="s">
        <v>59</v>
      </c>
      <c r="K20" t="s">
        <v>60</v>
      </c>
      <c r="L20" t="s">
        <v>3881</v>
      </c>
    </row>
    <row r="21" spans="1:12">
      <c r="A21" t="s">
        <v>61</v>
      </c>
      <c r="B21" t="s">
        <v>561</v>
      </c>
      <c r="C21" t="str">
        <f>VLOOKUP(A21,new!$A$2:$B$192,2,FALSE())</f>
        <v>RM018</v>
      </c>
      <c r="D21" t="s">
        <v>561</v>
      </c>
      <c r="E21" t="s">
        <v>561</v>
      </c>
      <c r="F21" t="s">
        <v>561</v>
      </c>
      <c r="G21" t="s">
        <v>3882</v>
      </c>
      <c r="H21" t="s">
        <v>3500</v>
      </c>
      <c r="I21" t="s">
        <v>557</v>
      </c>
      <c r="J21" t="s">
        <v>60</v>
      </c>
      <c r="K21" t="s">
        <v>60</v>
      </c>
      <c r="L21" t="s">
        <v>3883</v>
      </c>
    </row>
    <row r="22" spans="1:12">
      <c r="A22" t="s">
        <v>62</v>
      </c>
      <c r="B22" t="s">
        <v>564</v>
      </c>
      <c r="C22" t="str">
        <f>VLOOKUP(A22,new!$A$2:$B$192,2,FALSE())</f>
        <v>RM019</v>
      </c>
      <c r="D22" t="s">
        <v>62</v>
      </c>
      <c r="E22" t="s">
        <v>564</v>
      </c>
      <c r="F22" t="s">
        <v>564</v>
      </c>
      <c r="G22" t="s">
        <v>564</v>
      </c>
      <c r="H22" t="s">
        <v>3500</v>
      </c>
      <c r="I22" t="s">
        <v>557</v>
      </c>
      <c r="J22" t="s">
        <v>64</v>
      </c>
      <c r="K22" t="s">
        <v>64</v>
      </c>
      <c r="L22" t="s">
        <v>3157</v>
      </c>
    </row>
    <row r="23" spans="1:12">
      <c r="A23" t="s">
        <v>65</v>
      </c>
      <c r="B23" t="s">
        <v>565</v>
      </c>
      <c r="C23" t="str">
        <f>VLOOKUP(A23,new!$A$2:$B$192,2,FALSE())</f>
        <v>RM020</v>
      </c>
      <c r="D23" t="s">
        <v>65</v>
      </c>
      <c r="E23" t="s">
        <v>565</v>
      </c>
      <c r="F23" t="s">
        <v>565</v>
      </c>
      <c r="G23" t="s">
        <v>565</v>
      </c>
      <c r="H23" t="s">
        <v>65</v>
      </c>
      <c r="I23" t="s">
        <v>557</v>
      </c>
      <c r="J23" t="s">
        <v>67</v>
      </c>
      <c r="K23" t="s">
        <v>67</v>
      </c>
      <c r="L23" t="s">
        <v>3158</v>
      </c>
    </row>
    <row r="24" spans="1:12">
      <c r="A24" t="s">
        <v>68</v>
      </c>
      <c r="B24" t="s">
        <v>566</v>
      </c>
      <c r="C24" t="str">
        <f>VLOOKUP(A24,new!$A$2:$B$192,2,FALSE())</f>
        <v>RM021</v>
      </c>
      <c r="D24" t="s">
        <v>566</v>
      </c>
      <c r="E24" t="s">
        <v>3160</v>
      </c>
      <c r="F24" t="s">
        <v>3764</v>
      </c>
      <c r="G24" t="s">
        <v>3160</v>
      </c>
      <c r="H24" t="s">
        <v>3578</v>
      </c>
      <c r="I24" t="s">
        <v>68</v>
      </c>
      <c r="J24" t="s">
        <v>70</v>
      </c>
      <c r="K24" t="s">
        <v>70</v>
      </c>
      <c r="L24" t="s">
        <v>70</v>
      </c>
    </row>
    <row r="25" spans="1:12">
      <c r="A25" t="s">
        <v>71</v>
      </c>
      <c r="B25" t="s">
        <v>566</v>
      </c>
      <c r="C25" t="str">
        <f>VLOOKUP(A25,new!$A$2:$B$192,2,FALSE())</f>
        <v>RM022</v>
      </c>
      <c r="D25" t="s">
        <v>566</v>
      </c>
      <c r="E25" t="s">
        <v>3160</v>
      </c>
      <c r="F25" t="s">
        <v>3765</v>
      </c>
      <c r="G25" t="s">
        <v>3160</v>
      </c>
      <c r="H25" t="s">
        <v>3578</v>
      </c>
      <c r="I25" t="s">
        <v>71</v>
      </c>
      <c r="J25" t="s">
        <v>73</v>
      </c>
      <c r="K25" t="s">
        <v>73</v>
      </c>
      <c r="L25" t="s">
        <v>73</v>
      </c>
    </row>
    <row r="26" spans="1:12">
      <c r="A26" t="s">
        <v>74</v>
      </c>
      <c r="B26" t="s">
        <v>566</v>
      </c>
      <c r="C26" t="str">
        <f>VLOOKUP(A26,new!$A$2:$B$192,2,FALSE())</f>
        <v>RM023</v>
      </c>
      <c r="D26" t="s">
        <v>566</v>
      </c>
      <c r="E26" t="s">
        <v>3161</v>
      </c>
      <c r="F26" t="s">
        <v>3161</v>
      </c>
      <c r="G26" t="s">
        <v>3161</v>
      </c>
      <c r="H26" t="s">
        <v>3602</v>
      </c>
      <c r="I26" t="s">
        <v>74</v>
      </c>
      <c r="J26" t="s">
        <v>76</v>
      </c>
      <c r="K26" t="s">
        <v>76</v>
      </c>
      <c r="L26" t="s">
        <v>3282</v>
      </c>
    </row>
    <row r="27" spans="1:12">
      <c r="A27" t="s">
        <v>77</v>
      </c>
      <c r="B27" t="s">
        <v>566</v>
      </c>
      <c r="C27" t="str">
        <f>VLOOKUP(A27,new!$A$2:$B$192,2,FALSE())</f>
        <v>RM024</v>
      </c>
      <c r="D27" t="s">
        <v>566</v>
      </c>
      <c r="E27" t="s">
        <v>3161</v>
      </c>
      <c r="F27" t="s">
        <v>3161</v>
      </c>
      <c r="G27" t="s">
        <v>3161</v>
      </c>
      <c r="H27" t="s">
        <v>3602</v>
      </c>
      <c r="I27" t="s">
        <v>77</v>
      </c>
      <c r="J27" t="s">
        <v>79</v>
      </c>
      <c r="K27" t="s">
        <v>79</v>
      </c>
      <c r="L27" t="s">
        <v>3284</v>
      </c>
    </row>
    <row r="28" spans="1:12">
      <c r="A28" t="s">
        <v>80</v>
      </c>
      <c r="B28" t="s">
        <v>566</v>
      </c>
      <c r="C28" t="str">
        <f>VLOOKUP(A28,new!$A$2:$B$192,2,FALSE())</f>
        <v>RM025</v>
      </c>
      <c r="D28" t="s">
        <v>566</v>
      </c>
      <c r="E28" t="s">
        <v>3161</v>
      </c>
      <c r="F28" t="s">
        <v>3161</v>
      </c>
      <c r="G28" t="s">
        <v>3161</v>
      </c>
      <c r="H28" t="s">
        <v>3602</v>
      </c>
      <c r="I28" t="s">
        <v>80</v>
      </c>
      <c r="J28" t="s">
        <v>82</v>
      </c>
      <c r="K28" t="s">
        <v>82</v>
      </c>
      <c r="L28" t="s">
        <v>3283</v>
      </c>
    </row>
    <row r="29" spans="1:12">
      <c r="A29" t="s">
        <v>83</v>
      </c>
      <c r="B29" t="s">
        <v>566</v>
      </c>
      <c r="C29" t="str">
        <f>VLOOKUP(A29,new!$A$2:$B$192,2,FALSE())</f>
        <v>RM026</v>
      </c>
      <c r="D29" t="s">
        <v>566</v>
      </c>
      <c r="E29" t="s">
        <v>3162</v>
      </c>
      <c r="F29" t="s">
        <v>3884</v>
      </c>
      <c r="G29" t="s">
        <v>3162</v>
      </c>
      <c r="H29" t="s">
        <v>3475</v>
      </c>
      <c r="I29" t="s">
        <v>83</v>
      </c>
      <c r="J29" t="s">
        <v>85</v>
      </c>
      <c r="K29" t="s">
        <v>85</v>
      </c>
      <c r="L29" t="s">
        <v>85</v>
      </c>
    </row>
    <row r="30" spans="1:12">
      <c r="A30" t="s">
        <v>86</v>
      </c>
      <c r="B30" t="s">
        <v>566</v>
      </c>
      <c r="C30" t="str">
        <f>VLOOKUP(A30,new!$A$2:$B$192,2,FALSE())</f>
        <v>RM027</v>
      </c>
      <c r="D30" t="s">
        <v>566</v>
      </c>
      <c r="E30" t="s">
        <v>3162</v>
      </c>
      <c r="F30" t="s">
        <v>3884</v>
      </c>
      <c r="G30" t="s">
        <v>3162</v>
      </c>
      <c r="H30" t="s">
        <v>3475</v>
      </c>
      <c r="I30" t="s">
        <v>86</v>
      </c>
      <c r="J30" t="s">
        <v>88</v>
      </c>
      <c r="K30" t="s">
        <v>88</v>
      </c>
      <c r="L30" t="s">
        <v>1662</v>
      </c>
    </row>
    <row r="31" spans="1:12">
      <c r="A31" t="s">
        <v>89</v>
      </c>
      <c r="B31" t="s">
        <v>566</v>
      </c>
      <c r="C31" t="str">
        <f>VLOOKUP(A31,new!$A$2:$B$192,2,FALSE())</f>
        <v>RM028</v>
      </c>
      <c r="D31" t="s">
        <v>566</v>
      </c>
      <c r="E31" t="s">
        <v>3162</v>
      </c>
      <c r="F31" t="s">
        <v>3884</v>
      </c>
      <c r="G31" t="s">
        <v>3162</v>
      </c>
      <c r="H31" t="s">
        <v>3475</v>
      </c>
      <c r="I31" t="s">
        <v>3397</v>
      </c>
      <c r="J31" t="s">
        <v>91</v>
      </c>
      <c r="K31" t="s">
        <v>91</v>
      </c>
      <c r="L31" t="s">
        <v>3269</v>
      </c>
    </row>
    <row r="32" spans="1:12">
      <c r="A32" t="s">
        <v>92</v>
      </c>
      <c r="B32" t="s">
        <v>566</v>
      </c>
      <c r="C32" t="str">
        <f>VLOOKUP(A32,new!$A$2:$B$192,2,FALSE())</f>
        <v>RM029</v>
      </c>
      <c r="D32" t="s">
        <v>566</v>
      </c>
      <c r="E32" t="s">
        <v>3162</v>
      </c>
      <c r="F32" t="s">
        <v>3884</v>
      </c>
      <c r="G32" t="s">
        <v>3162</v>
      </c>
      <c r="H32" t="s">
        <v>3475</v>
      </c>
      <c r="I32" t="s">
        <v>3397</v>
      </c>
      <c r="J32" t="s">
        <v>94</v>
      </c>
      <c r="K32" t="s">
        <v>94</v>
      </c>
      <c r="L32" t="s">
        <v>3270</v>
      </c>
    </row>
    <row r="33" spans="1:12">
      <c r="A33" t="s">
        <v>95</v>
      </c>
      <c r="B33" t="s">
        <v>566</v>
      </c>
      <c r="C33" t="str">
        <f>VLOOKUP(A33,new!$A$2:$B$192,2,FALSE())</f>
        <v>RM030</v>
      </c>
      <c r="D33" t="s">
        <v>566</v>
      </c>
      <c r="E33" t="s">
        <v>3162</v>
      </c>
      <c r="F33" t="s">
        <v>3884</v>
      </c>
      <c r="G33" t="s">
        <v>3162</v>
      </c>
      <c r="H33" t="s">
        <v>3475</v>
      </c>
      <c r="I33" t="s">
        <v>3397</v>
      </c>
      <c r="J33" t="s">
        <v>97</v>
      </c>
      <c r="K33" t="s">
        <v>97</v>
      </c>
      <c r="L33" t="s">
        <v>3272</v>
      </c>
    </row>
    <row r="34" spans="1:12">
      <c r="A34" t="s">
        <v>98</v>
      </c>
      <c r="B34" t="s">
        <v>566</v>
      </c>
      <c r="C34" t="str">
        <f>VLOOKUP(A34,new!$A$2:$B$192,2,FALSE())</f>
        <v>RM031</v>
      </c>
      <c r="D34" t="s">
        <v>566</v>
      </c>
      <c r="E34" t="s">
        <v>3162</v>
      </c>
      <c r="F34" t="s">
        <v>3884</v>
      </c>
      <c r="G34" t="s">
        <v>3162</v>
      </c>
      <c r="H34" t="s">
        <v>3475</v>
      </c>
      <c r="I34" t="s">
        <v>3397</v>
      </c>
      <c r="J34" t="s">
        <v>100</v>
      </c>
      <c r="K34" t="s">
        <v>100</v>
      </c>
      <c r="L34" t="s">
        <v>295</v>
      </c>
    </row>
    <row r="35" spans="1:12">
      <c r="A35" t="s">
        <v>101</v>
      </c>
      <c r="B35" t="s">
        <v>566</v>
      </c>
      <c r="C35" t="str">
        <f>VLOOKUP(A35,new!$A$2:$B$192,2,FALSE())</f>
        <v>RM032</v>
      </c>
      <c r="D35" t="s">
        <v>566</v>
      </c>
      <c r="E35" t="s">
        <v>3162</v>
      </c>
      <c r="F35" t="s">
        <v>3884</v>
      </c>
      <c r="G35" t="s">
        <v>3162</v>
      </c>
      <c r="H35" t="s">
        <v>3475</v>
      </c>
      <c r="I35" t="s">
        <v>3397</v>
      </c>
      <c r="J35" t="s">
        <v>103</v>
      </c>
      <c r="K35" t="s">
        <v>103</v>
      </c>
      <c r="L35" t="s">
        <v>292</v>
      </c>
    </row>
    <row r="36" spans="1:12">
      <c r="A36" t="s">
        <v>104</v>
      </c>
      <c r="B36" t="s">
        <v>566</v>
      </c>
      <c r="C36" t="str">
        <f>VLOOKUP(A36,new!$A$2:$B$192,2,FALSE())</f>
        <v>RM033</v>
      </c>
      <c r="D36" t="s">
        <v>566</v>
      </c>
      <c r="E36" t="s">
        <v>3162</v>
      </c>
      <c r="F36" t="s">
        <v>3884</v>
      </c>
      <c r="G36" t="s">
        <v>3162</v>
      </c>
      <c r="H36" t="s">
        <v>3475</v>
      </c>
      <c r="I36" t="s">
        <v>3397</v>
      </c>
      <c r="J36" t="s">
        <v>106</v>
      </c>
      <c r="K36" t="s">
        <v>107</v>
      </c>
      <c r="L36" t="s">
        <v>3885</v>
      </c>
    </row>
    <row r="37" spans="1:12">
      <c r="A37" t="s">
        <v>108</v>
      </c>
      <c r="B37" t="s">
        <v>566</v>
      </c>
      <c r="C37" t="str">
        <f>VLOOKUP(A37,new!$A$2:$B$192,2,FALSE())</f>
        <v>RM034</v>
      </c>
      <c r="D37" t="s">
        <v>566</v>
      </c>
      <c r="E37" t="s">
        <v>3162</v>
      </c>
      <c r="F37" t="s">
        <v>3884</v>
      </c>
      <c r="G37" t="s">
        <v>3162</v>
      </c>
      <c r="H37" t="s">
        <v>3475</v>
      </c>
      <c r="I37" t="s">
        <v>3397</v>
      </c>
      <c r="J37" t="s">
        <v>110</v>
      </c>
      <c r="K37" t="s">
        <v>110</v>
      </c>
      <c r="L37" t="s">
        <v>304</v>
      </c>
    </row>
    <row r="38" spans="1:12">
      <c r="A38" t="s">
        <v>111</v>
      </c>
      <c r="B38" t="s">
        <v>566</v>
      </c>
      <c r="C38" t="str">
        <f>VLOOKUP(A38,new!$A$2:$B$192,2,FALSE())</f>
        <v>RM035</v>
      </c>
      <c r="D38" t="s">
        <v>566</v>
      </c>
      <c r="E38" t="s">
        <v>3162</v>
      </c>
      <c r="F38" t="s">
        <v>3884</v>
      </c>
      <c r="G38" t="s">
        <v>3162</v>
      </c>
      <c r="H38" t="s">
        <v>3475</v>
      </c>
      <c r="I38" t="s">
        <v>3397</v>
      </c>
      <c r="J38" t="s">
        <v>113</v>
      </c>
      <c r="K38" t="s">
        <v>113</v>
      </c>
      <c r="L38" t="s">
        <v>307</v>
      </c>
    </row>
    <row r="39" spans="1:12">
      <c r="A39" t="s">
        <v>114</v>
      </c>
      <c r="B39" t="s">
        <v>566</v>
      </c>
      <c r="C39" t="str">
        <f>VLOOKUP(A39,new!$A$2:$B$192,2,FALSE())</f>
        <v>RM036</v>
      </c>
      <c r="D39" t="s">
        <v>566</v>
      </c>
      <c r="E39" t="s">
        <v>3162</v>
      </c>
      <c r="F39" t="s">
        <v>3884</v>
      </c>
      <c r="G39" t="s">
        <v>3162</v>
      </c>
      <c r="H39" t="s">
        <v>3475</v>
      </c>
      <c r="I39" t="s">
        <v>3397</v>
      </c>
      <c r="J39" t="s">
        <v>116</v>
      </c>
      <c r="K39" t="s">
        <v>116</v>
      </c>
      <c r="L39" t="s">
        <v>310</v>
      </c>
    </row>
    <row r="40" spans="1:12">
      <c r="A40" t="s">
        <v>117</v>
      </c>
      <c r="B40" t="s">
        <v>566</v>
      </c>
      <c r="C40" t="str">
        <f>VLOOKUP(A40,new!$A$2:$B$192,2,FALSE())</f>
        <v>RM037</v>
      </c>
      <c r="D40" t="s">
        <v>566</v>
      </c>
      <c r="E40" t="s">
        <v>3162</v>
      </c>
      <c r="F40" t="s">
        <v>3884</v>
      </c>
      <c r="G40" t="s">
        <v>3162</v>
      </c>
      <c r="H40" t="s">
        <v>3475</v>
      </c>
      <c r="I40" t="s">
        <v>3397</v>
      </c>
      <c r="J40" t="s">
        <v>119</v>
      </c>
      <c r="K40" t="s">
        <v>120</v>
      </c>
      <c r="L40" t="s">
        <v>3277</v>
      </c>
    </row>
    <row r="41" spans="1:12">
      <c r="A41" t="s">
        <v>121</v>
      </c>
      <c r="B41" t="s">
        <v>566</v>
      </c>
      <c r="C41" t="str">
        <f>VLOOKUP(A41,new!$A$2:$B$192,2,FALSE())</f>
        <v>RM037</v>
      </c>
      <c r="D41" t="s">
        <v>566</v>
      </c>
      <c r="E41" t="s">
        <v>3162</v>
      </c>
      <c r="F41" t="s">
        <v>3884</v>
      </c>
      <c r="G41" t="s">
        <v>3162</v>
      </c>
      <c r="H41" t="s">
        <v>3475</v>
      </c>
      <c r="I41" t="s">
        <v>3397</v>
      </c>
      <c r="J41" t="s">
        <v>122</v>
      </c>
      <c r="K41" t="s">
        <v>120</v>
      </c>
      <c r="L41" t="s">
        <v>3279</v>
      </c>
    </row>
    <row r="42" spans="1:12">
      <c r="A42" t="s">
        <v>123</v>
      </c>
      <c r="B42" t="s">
        <v>566</v>
      </c>
      <c r="C42" t="str">
        <f>VLOOKUP(A42,new!$A$2:$B$192,2,FALSE())</f>
        <v>RM037</v>
      </c>
      <c r="D42" t="s">
        <v>566</v>
      </c>
      <c r="E42" t="s">
        <v>3162</v>
      </c>
      <c r="F42" t="s">
        <v>3884</v>
      </c>
      <c r="G42" t="s">
        <v>3162</v>
      </c>
      <c r="H42" t="s">
        <v>3475</v>
      </c>
      <c r="I42" t="s">
        <v>3397</v>
      </c>
      <c r="J42" t="s">
        <v>124</v>
      </c>
      <c r="K42" t="s">
        <v>120</v>
      </c>
      <c r="L42" t="s">
        <v>3886</v>
      </c>
    </row>
    <row r="43" spans="1:12">
      <c r="A43" t="s">
        <v>125</v>
      </c>
      <c r="B43" t="s">
        <v>566</v>
      </c>
      <c r="C43" t="str">
        <f>VLOOKUP(A43,new!$A$2:$B$192,2,FALSE())</f>
        <v>RM037</v>
      </c>
      <c r="D43" t="s">
        <v>566</v>
      </c>
      <c r="E43" t="s">
        <v>3162</v>
      </c>
      <c r="F43" t="s">
        <v>3884</v>
      </c>
      <c r="G43" t="s">
        <v>3162</v>
      </c>
      <c r="H43" t="s">
        <v>3475</v>
      </c>
      <c r="I43" t="s">
        <v>3397</v>
      </c>
      <c r="J43" t="s">
        <v>126</v>
      </c>
      <c r="K43" t="s">
        <v>120</v>
      </c>
      <c r="L43" t="s">
        <v>3278</v>
      </c>
    </row>
    <row r="44" spans="1:12">
      <c r="A44" t="s">
        <v>127</v>
      </c>
      <c r="B44" t="s">
        <v>566</v>
      </c>
      <c r="C44" t="str">
        <f>VLOOKUP(A44,new!$A$2:$B$192,2,FALSE())</f>
        <v>RM037</v>
      </c>
      <c r="D44" t="s">
        <v>566</v>
      </c>
      <c r="E44" t="s">
        <v>3162</v>
      </c>
      <c r="F44" t="s">
        <v>3884</v>
      </c>
      <c r="G44" t="s">
        <v>3162</v>
      </c>
      <c r="H44" t="s">
        <v>3475</v>
      </c>
      <c r="I44" t="s">
        <v>3397</v>
      </c>
      <c r="J44" t="s">
        <v>128</v>
      </c>
      <c r="K44" t="s">
        <v>120</v>
      </c>
      <c r="L44" t="s">
        <v>3268</v>
      </c>
    </row>
    <row r="45" spans="1:12">
      <c r="A45" t="s">
        <v>129</v>
      </c>
      <c r="B45" t="s">
        <v>566</v>
      </c>
      <c r="C45" t="str">
        <f>VLOOKUP(A45,new!$A$2:$B$192,2,FALSE())</f>
        <v>RM037</v>
      </c>
      <c r="D45" t="s">
        <v>566</v>
      </c>
      <c r="E45" t="s">
        <v>3162</v>
      </c>
      <c r="F45" t="s">
        <v>3884</v>
      </c>
      <c r="G45" t="s">
        <v>3162</v>
      </c>
      <c r="H45" t="s">
        <v>3475</v>
      </c>
      <c r="I45" t="s">
        <v>3397</v>
      </c>
      <c r="J45" t="s">
        <v>130</v>
      </c>
      <c r="K45" t="s">
        <v>120</v>
      </c>
      <c r="L45" t="s">
        <v>3276</v>
      </c>
    </row>
    <row r="46" spans="1:12">
      <c r="A46" t="s">
        <v>131</v>
      </c>
      <c r="B46" t="s">
        <v>566</v>
      </c>
      <c r="C46" t="str">
        <f>VLOOKUP(A46,new!$A$2:$B$192,2,FALSE())</f>
        <v>RM037</v>
      </c>
      <c r="D46" t="s">
        <v>566</v>
      </c>
      <c r="E46" t="s">
        <v>3162</v>
      </c>
      <c r="F46" t="s">
        <v>3884</v>
      </c>
      <c r="G46" t="s">
        <v>3162</v>
      </c>
      <c r="H46" t="s">
        <v>3475</v>
      </c>
      <c r="I46" t="s">
        <v>3397</v>
      </c>
      <c r="J46" t="s">
        <v>120</v>
      </c>
      <c r="K46" t="s">
        <v>120</v>
      </c>
      <c r="L46" t="s">
        <v>3271</v>
      </c>
    </row>
    <row r="47" spans="1:12">
      <c r="A47" t="s">
        <v>132</v>
      </c>
      <c r="B47" t="s">
        <v>566</v>
      </c>
      <c r="C47" t="str">
        <f>VLOOKUP(A47,new!$A$2:$B$192,2,FALSE())</f>
        <v>RM038</v>
      </c>
      <c r="D47" t="s">
        <v>566</v>
      </c>
      <c r="E47" t="s">
        <v>3162</v>
      </c>
      <c r="F47" t="s">
        <v>3887</v>
      </c>
      <c r="G47" t="s">
        <v>3162</v>
      </c>
      <c r="H47" t="s">
        <v>3475</v>
      </c>
      <c r="I47" t="s">
        <v>3398</v>
      </c>
      <c r="J47" t="s">
        <v>134</v>
      </c>
      <c r="K47" t="s">
        <v>120</v>
      </c>
      <c r="L47" t="s">
        <v>1654</v>
      </c>
    </row>
    <row r="48" spans="1:12">
      <c r="A48" t="s">
        <v>135</v>
      </c>
      <c r="B48" t="s">
        <v>566</v>
      </c>
      <c r="C48" t="str">
        <f>VLOOKUP(A48,new!$A$2:$B$192,2,FALSE())</f>
        <v>RM039</v>
      </c>
      <c r="D48" t="s">
        <v>566</v>
      </c>
      <c r="E48" t="s">
        <v>3162</v>
      </c>
      <c r="F48" t="s">
        <v>3887</v>
      </c>
      <c r="G48" t="s">
        <v>3162</v>
      </c>
      <c r="H48" t="s">
        <v>3475</v>
      </c>
      <c r="I48" t="s">
        <v>3398</v>
      </c>
      <c r="J48" t="s">
        <v>137</v>
      </c>
      <c r="K48" t="s">
        <v>134</v>
      </c>
      <c r="L48" t="s">
        <v>1655</v>
      </c>
    </row>
    <row r="49" spans="1:12">
      <c r="A49" t="s">
        <v>138</v>
      </c>
      <c r="B49" t="s">
        <v>566</v>
      </c>
      <c r="C49" t="str">
        <f>VLOOKUP(A49,new!$A$2:$B$192,2,FALSE())</f>
        <v>RM040</v>
      </c>
      <c r="D49" t="s">
        <v>566</v>
      </c>
      <c r="E49" t="s">
        <v>3162</v>
      </c>
      <c r="F49" t="s">
        <v>3887</v>
      </c>
      <c r="G49" t="s">
        <v>3162</v>
      </c>
      <c r="H49" t="s">
        <v>3475</v>
      </c>
      <c r="I49" t="s">
        <v>3398</v>
      </c>
      <c r="J49" t="s">
        <v>140</v>
      </c>
      <c r="K49" t="s">
        <v>137</v>
      </c>
      <c r="L49" t="s">
        <v>3266</v>
      </c>
    </row>
    <row r="50" spans="1:12">
      <c r="A50" t="s">
        <v>141</v>
      </c>
      <c r="B50" t="s">
        <v>566</v>
      </c>
      <c r="C50" t="str">
        <f>VLOOKUP(A50,new!$A$2:$B$192,2,FALSE())</f>
        <v>RM041</v>
      </c>
      <c r="D50" t="s">
        <v>566</v>
      </c>
      <c r="E50" t="s">
        <v>3162</v>
      </c>
      <c r="F50" t="s">
        <v>3887</v>
      </c>
      <c r="G50" t="s">
        <v>3162</v>
      </c>
      <c r="H50" t="s">
        <v>3475</v>
      </c>
      <c r="I50" t="s">
        <v>3398</v>
      </c>
      <c r="J50" t="s">
        <v>143</v>
      </c>
      <c r="K50" t="s">
        <v>140</v>
      </c>
      <c r="L50" t="s">
        <v>143</v>
      </c>
    </row>
    <row r="51" spans="1:12">
      <c r="A51" t="s">
        <v>144</v>
      </c>
      <c r="B51" t="s">
        <v>566</v>
      </c>
      <c r="C51" t="str">
        <f>VLOOKUP(A51,new!$A$2:$B$192,2,FALSE())</f>
        <v>RM042-043</v>
      </c>
      <c r="D51" t="s">
        <v>566</v>
      </c>
      <c r="E51" t="s">
        <v>3162</v>
      </c>
      <c r="F51" t="s">
        <v>3887</v>
      </c>
      <c r="G51" t="s">
        <v>3162</v>
      </c>
      <c r="H51" t="s">
        <v>3475</v>
      </c>
      <c r="I51" t="s">
        <v>3399</v>
      </c>
      <c r="J51" t="s">
        <v>146</v>
      </c>
      <c r="K51" t="s">
        <v>143</v>
      </c>
      <c r="L51" t="s">
        <v>3265</v>
      </c>
    </row>
    <row r="52" spans="1:12">
      <c r="A52" t="s">
        <v>3888</v>
      </c>
      <c r="B52" t="s">
        <v>566</v>
      </c>
      <c r="C52" t="s">
        <v>573</v>
      </c>
      <c r="D52" t="s">
        <v>566</v>
      </c>
      <c r="E52" t="s">
        <v>3162</v>
      </c>
      <c r="F52" t="s">
        <v>3887</v>
      </c>
      <c r="G52" t="s">
        <v>3162</v>
      </c>
      <c r="H52" t="s">
        <v>3475</v>
      </c>
      <c r="I52" t="s">
        <v>3399</v>
      </c>
      <c r="J52" t="s">
        <v>146</v>
      </c>
      <c r="K52" t="s">
        <v>146</v>
      </c>
      <c r="L52" t="s">
        <v>3265</v>
      </c>
    </row>
    <row r="53" spans="1:12">
      <c r="A53" t="s">
        <v>3889</v>
      </c>
      <c r="B53" t="s">
        <v>566</v>
      </c>
      <c r="C53" t="s">
        <v>576</v>
      </c>
      <c r="D53" t="s">
        <v>566</v>
      </c>
      <c r="E53" t="s">
        <v>3162</v>
      </c>
      <c r="F53" t="s">
        <v>3887</v>
      </c>
      <c r="G53" t="s">
        <v>3162</v>
      </c>
      <c r="H53" t="s">
        <v>3475</v>
      </c>
      <c r="I53" t="s">
        <v>3399</v>
      </c>
      <c r="J53" t="s">
        <v>146</v>
      </c>
      <c r="K53" t="s">
        <v>146</v>
      </c>
      <c r="L53" t="s">
        <v>3265</v>
      </c>
    </row>
    <row r="54" spans="1:12">
      <c r="A54" t="s">
        <v>148</v>
      </c>
      <c r="B54" t="s">
        <v>566</v>
      </c>
      <c r="C54" t="s">
        <v>573</v>
      </c>
      <c r="D54" t="s">
        <v>566</v>
      </c>
      <c r="E54" t="s">
        <v>3162</v>
      </c>
      <c r="F54" t="s">
        <v>3887</v>
      </c>
      <c r="G54" t="s">
        <v>3162</v>
      </c>
      <c r="H54" t="s">
        <v>3475</v>
      </c>
      <c r="I54" t="s">
        <v>3399</v>
      </c>
      <c r="J54" t="s">
        <v>149</v>
      </c>
      <c r="K54" t="s">
        <v>577</v>
      </c>
      <c r="L54" t="s">
        <v>3267</v>
      </c>
    </row>
    <row r="55" spans="1:12">
      <c r="A55" t="s">
        <v>150</v>
      </c>
      <c r="B55" t="s">
        <v>566</v>
      </c>
      <c r="C55" t="str">
        <f>VLOOKUP(A55,new!$A$2:$B$192,2,FALSE())</f>
        <v>RM044</v>
      </c>
      <c r="D55" t="s">
        <v>566</v>
      </c>
      <c r="E55" t="s">
        <v>3162</v>
      </c>
      <c r="F55" t="s">
        <v>3887</v>
      </c>
      <c r="G55" t="s">
        <v>3162</v>
      </c>
      <c r="H55" t="s">
        <v>3475</v>
      </c>
      <c r="I55" t="s">
        <v>3399</v>
      </c>
      <c r="J55" t="s">
        <v>152</v>
      </c>
      <c r="K55" t="s">
        <v>577</v>
      </c>
      <c r="L55" t="s">
        <v>3890</v>
      </c>
    </row>
    <row r="56" spans="1:12">
      <c r="A56" t="s">
        <v>153</v>
      </c>
      <c r="B56" t="s">
        <v>566</v>
      </c>
      <c r="C56" t="str">
        <f>VLOOKUP(A56,new!$A$2:$B$192,2,FALSE())</f>
        <v>RM045</v>
      </c>
      <c r="D56" t="s">
        <v>566</v>
      </c>
      <c r="E56" t="s">
        <v>3162</v>
      </c>
      <c r="F56" t="s">
        <v>3887</v>
      </c>
      <c r="G56" t="s">
        <v>3162</v>
      </c>
      <c r="H56" t="s">
        <v>3475</v>
      </c>
      <c r="I56" t="s">
        <v>153</v>
      </c>
      <c r="J56" t="s">
        <v>155</v>
      </c>
      <c r="K56" t="s">
        <v>152</v>
      </c>
      <c r="L56" t="s">
        <v>156</v>
      </c>
    </row>
    <row r="57" spans="1:12">
      <c r="A57" t="s">
        <v>157</v>
      </c>
      <c r="B57" t="s">
        <v>566</v>
      </c>
      <c r="C57" t="str">
        <f>VLOOKUP(A57,new!$A$2:$B$192,2,FALSE())</f>
        <v>RM047</v>
      </c>
      <c r="D57" t="s">
        <v>566</v>
      </c>
      <c r="E57" t="s">
        <v>3162</v>
      </c>
      <c r="F57" t="s">
        <v>3887</v>
      </c>
      <c r="G57" t="s">
        <v>3162</v>
      </c>
      <c r="H57" t="s">
        <v>3475</v>
      </c>
      <c r="I57" t="s">
        <v>157</v>
      </c>
      <c r="J57" t="s">
        <v>159</v>
      </c>
      <c r="K57" t="s">
        <v>156</v>
      </c>
      <c r="L57" t="s">
        <v>159</v>
      </c>
    </row>
    <row r="58" spans="1:12">
      <c r="A58" t="s">
        <v>161</v>
      </c>
      <c r="B58" t="s">
        <v>566</v>
      </c>
      <c r="C58" t="str">
        <f>VLOOKUP(A58,new!$A$2:$B$192,2,FALSE())</f>
        <v>RM046</v>
      </c>
      <c r="D58" t="s">
        <v>566</v>
      </c>
      <c r="E58" t="s">
        <v>3162</v>
      </c>
      <c r="F58" t="s">
        <v>3887</v>
      </c>
      <c r="G58" t="s">
        <v>3162</v>
      </c>
      <c r="H58" t="s">
        <v>3475</v>
      </c>
      <c r="I58" t="s">
        <v>161</v>
      </c>
      <c r="J58" t="s">
        <v>163</v>
      </c>
      <c r="K58" t="s">
        <v>160</v>
      </c>
      <c r="L58" t="s">
        <v>3263</v>
      </c>
    </row>
    <row r="59" spans="1:12">
      <c r="A59" t="s">
        <v>164</v>
      </c>
      <c r="B59" t="s">
        <v>566</v>
      </c>
      <c r="C59" t="str">
        <f>VLOOKUP(A59,new!$A$2:$B$192,2,FALSE())</f>
        <v>RM047</v>
      </c>
      <c r="D59" t="s">
        <v>566</v>
      </c>
      <c r="E59" t="s">
        <v>3162</v>
      </c>
      <c r="F59" t="s">
        <v>3887</v>
      </c>
      <c r="G59" t="s">
        <v>3162</v>
      </c>
      <c r="H59" t="s">
        <v>3475</v>
      </c>
      <c r="I59" t="s">
        <v>164</v>
      </c>
      <c r="J59" t="s">
        <v>160</v>
      </c>
      <c r="K59" t="s">
        <v>163</v>
      </c>
      <c r="L59" t="s">
        <v>3264</v>
      </c>
    </row>
    <row r="60" spans="1:12">
      <c r="A60" t="s">
        <v>165</v>
      </c>
      <c r="B60" t="s">
        <v>566</v>
      </c>
      <c r="C60" t="str">
        <f>VLOOKUP(A60,new!$A$2:$B$192,2,FALSE())</f>
        <v>RM048</v>
      </c>
      <c r="D60" t="s">
        <v>566</v>
      </c>
      <c r="E60" t="s">
        <v>3162</v>
      </c>
      <c r="F60" t="s">
        <v>3887</v>
      </c>
      <c r="G60" t="s">
        <v>3162</v>
      </c>
      <c r="H60" t="s">
        <v>3475</v>
      </c>
      <c r="I60" t="s">
        <v>165</v>
      </c>
      <c r="J60" t="s">
        <v>167</v>
      </c>
      <c r="K60" t="s">
        <v>160</v>
      </c>
      <c r="L60" t="s">
        <v>3891</v>
      </c>
    </row>
    <row r="61" spans="1:12">
      <c r="A61" t="s">
        <v>168</v>
      </c>
      <c r="B61" t="s">
        <v>580</v>
      </c>
      <c r="C61" t="str">
        <f>VLOOKUP(A61,new!$A$2:$B$192,2,FALSE())</f>
        <v>RM049</v>
      </c>
      <c r="D61" t="s">
        <v>580</v>
      </c>
      <c r="E61" t="s">
        <v>580</v>
      </c>
      <c r="F61" t="s">
        <v>3892</v>
      </c>
      <c r="G61" t="s">
        <v>580</v>
      </c>
      <c r="H61" t="s">
        <v>3163</v>
      </c>
      <c r="I61" t="s">
        <v>168</v>
      </c>
      <c r="J61" t="s">
        <v>170</v>
      </c>
      <c r="K61" t="s">
        <v>167</v>
      </c>
      <c r="L61" t="s">
        <v>3247</v>
      </c>
    </row>
    <row r="62" spans="1:12">
      <c r="A62" t="s">
        <v>171</v>
      </c>
      <c r="B62" t="s">
        <v>580</v>
      </c>
      <c r="C62" t="str">
        <f>VLOOKUP(A62,new!$A$2:$B$192,2,FALSE())</f>
        <v>RM050</v>
      </c>
      <c r="D62" t="s">
        <v>580</v>
      </c>
      <c r="E62" t="s">
        <v>580</v>
      </c>
      <c r="F62" t="s">
        <v>3892</v>
      </c>
      <c r="G62" t="s">
        <v>580</v>
      </c>
      <c r="H62" t="s">
        <v>3163</v>
      </c>
      <c r="I62" t="s">
        <v>171</v>
      </c>
      <c r="J62" t="s">
        <v>173</v>
      </c>
      <c r="K62" t="s">
        <v>170</v>
      </c>
      <c r="L62" t="s">
        <v>3248</v>
      </c>
    </row>
    <row r="63" spans="1:12">
      <c r="A63" t="s">
        <v>174</v>
      </c>
      <c r="B63" t="s">
        <v>580</v>
      </c>
      <c r="C63" t="str">
        <f>VLOOKUP(A63,new!$A$2:$B$192,2,FALSE())</f>
        <v>RM051</v>
      </c>
      <c r="D63" t="s">
        <v>580</v>
      </c>
      <c r="E63" t="s">
        <v>580</v>
      </c>
      <c r="F63" t="s">
        <v>3892</v>
      </c>
      <c r="G63" t="s">
        <v>580</v>
      </c>
      <c r="H63" t="s">
        <v>3163</v>
      </c>
      <c r="I63" t="s">
        <v>174</v>
      </c>
      <c r="J63" t="s">
        <v>176</v>
      </c>
      <c r="K63" t="s">
        <v>173</v>
      </c>
      <c r="L63" t="s">
        <v>3255</v>
      </c>
    </row>
    <row r="64" spans="1:12">
      <c r="A64" t="s">
        <v>177</v>
      </c>
      <c r="B64" t="s">
        <v>580</v>
      </c>
      <c r="C64" t="str">
        <f>VLOOKUP(A64,new!$A$2:$B$192,2,FALSE())</f>
        <v>RM052</v>
      </c>
      <c r="D64" t="s">
        <v>580</v>
      </c>
      <c r="E64" t="s">
        <v>580</v>
      </c>
      <c r="F64" t="s">
        <v>3892</v>
      </c>
      <c r="G64" t="s">
        <v>580</v>
      </c>
      <c r="H64" t="s">
        <v>3163</v>
      </c>
      <c r="I64" t="s">
        <v>177</v>
      </c>
      <c r="J64" t="s">
        <v>179</v>
      </c>
      <c r="K64" t="s">
        <v>176</v>
      </c>
      <c r="L64" t="s">
        <v>1683</v>
      </c>
    </row>
    <row r="65" spans="1:12">
      <c r="A65" t="s">
        <v>180</v>
      </c>
      <c r="B65" t="s">
        <v>580</v>
      </c>
      <c r="C65" t="str">
        <f>VLOOKUP(A65,new!$A$2:$B$192,2,FALSE())</f>
        <v>RM053</v>
      </c>
      <c r="D65" t="s">
        <v>580</v>
      </c>
      <c r="E65" t="s">
        <v>580</v>
      </c>
      <c r="F65" t="s">
        <v>3892</v>
      </c>
      <c r="G65" t="s">
        <v>580</v>
      </c>
      <c r="H65" t="s">
        <v>3163</v>
      </c>
      <c r="I65" t="s">
        <v>180</v>
      </c>
      <c r="J65" t="s">
        <v>182</v>
      </c>
      <c r="K65" t="s">
        <v>179</v>
      </c>
      <c r="L65" t="s">
        <v>1684</v>
      </c>
    </row>
    <row r="66" spans="1:12">
      <c r="A66" t="s">
        <v>183</v>
      </c>
      <c r="B66" t="s">
        <v>580</v>
      </c>
      <c r="C66" t="str">
        <f>VLOOKUP(A66,new!$A$2:$B$192,2,FALSE())</f>
        <v>RM054</v>
      </c>
      <c r="D66" t="s">
        <v>580</v>
      </c>
      <c r="E66" t="s">
        <v>580</v>
      </c>
      <c r="F66" t="s">
        <v>3892</v>
      </c>
      <c r="G66" t="s">
        <v>580</v>
      </c>
      <c r="H66" t="s">
        <v>3163</v>
      </c>
      <c r="I66" t="s">
        <v>183</v>
      </c>
      <c r="J66" t="s">
        <v>185</v>
      </c>
      <c r="K66" t="s">
        <v>182</v>
      </c>
      <c r="L66" t="s">
        <v>3257</v>
      </c>
    </row>
    <row r="67" spans="1:12">
      <c r="A67" t="s">
        <v>186</v>
      </c>
      <c r="B67" t="s">
        <v>580</v>
      </c>
      <c r="C67" t="str">
        <f>VLOOKUP(A67,new!$A$2:$B$192,2,FALSE())</f>
        <v>RM055</v>
      </c>
      <c r="D67" t="s">
        <v>580</v>
      </c>
      <c r="E67" t="s">
        <v>580</v>
      </c>
      <c r="F67" t="s">
        <v>3892</v>
      </c>
      <c r="G67" t="s">
        <v>580</v>
      </c>
      <c r="H67" t="s">
        <v>3163</v>
      </c>
      <c r="I67" t="s">
        <v>186</v>
      </c>
      <c r="J67" t="s">
        <v>188</v>
      </c>
      <c r="K67" t="s">
        <v>185</v>
      </c>
      <c r="L67" t="s">
        <v>3250</v>
      </c>
    </row>
    <row r="68" spans="1:12">
      <c r="A68" t="s">
        <v>189</v>
      </c>
      <c r="B68" t="s">
        <v>580</v>
      </c>
      <c r="C68" t="str">
        <f>VLOOKUP(A68,new!$A$2:$B$192,2,FALSE())</f>
        <v>RM056</v>
      </c>
      <c r="D68" t="s">
        <v>580</v>
      </c>
      <c r="E68" t="s">
        <v>580</v>
      </c>
      <c r="F68" t="s">
        <v>3892</v>
      </c>
      <c r="G68" t="s">
        <v>580</v>
      </c>
      <c r="H68" t="s">
        <v>3163</v>
      </c>
      <c r="I68" t="s">
        <v>581</v>
      </c>
      <c r="J68" t="s">
        <v>191</v>
      </c>
      <c r="K68" t="s">
        <v>188</v>
      </c>
      <c r="L68" t="s">
        <v>3893</v>
      </c>
    </row>
    <row r="69" spans="1:12">
      <c r="A69" t="s">
        <v>193</v>
      </c>
      <c r="B69" t="s">
        <v>580</v>
      </c>
      <c r="C69" t="str">
        <f>VLOOKUP(A69,new!$A$2:$B$192,2,FALSE())</f>
        <v>RM056</v>
      </c>
      <c r="D69" t="s">
        <v>580</v>
      </c>
      <c r="E69" t="s">
        <v>580</v>
      </c>
      <c r="F69" t="s">
        <v>3892</v>
      </c>
      <c r="G69" t="s">
        <v>580</v>
      </c>
      <c r="H69" t="s">
        <v>3163</v>
      </c>
      <c r="I69" t="s">
        <v>581</v>
      </c>
      <c r="J69" t="s">
        <v>194</v>
      </c>
      <c r="K69" t="s">
        <v>188</v>
      </c>
      <c r="L69" t="s">
        <v>3894</v>
      </c>
    </row>
    <row r="70" spans="1:12">
      <c r="A70" t="s">
        <v>195</v>
      </c>
      <c r="B70" t="s">
        <v>580</v>
      </c>
      <c r="C70" t="str">
        <f>VLOOKUP(A70,new!$A$2:$B$192,2,FALSE())</f>
        <v>RM057</v>
      </c>
      <c r="D70" t="s">
        <v>580</v>
      </c>
      <c r="E70" t="s">
        <v>580</v>
      </c>
      <c r="F70" t="s">
        <v>3895</v>
      </c>
      <c r="G70" t="s">
        <v>580</v>
      </c>
      <c r="H70" t="s">
        <v>3163</v>
      </c>
      <c r="I70" t="s">
        <v>195</v>
      </c>
      <c r="J70" t="s">
        <v>197</v>
      </c>
      <c r="K70" t="s">
        <v>188</v>
      </c>
      <c r="L70" t="s">
        <v>197</v>
      </c>
    </row>
    <row r="71" spans="1:12">
      <c r="A71" t="s">
        <v>198</v>
      </c>
      <c r="B71" t="s">
        <v>580</v>
      </c>
      <c r="C71" t="str">
        <f>VLOOKUP(A71,new!$A$2:$B$192,2,FALSE())</f>
        <v>RM058</v>
      </c>
      <c r="D71" t="s">
        <v>580</v>
      </c>
      <c r="E71" t="s">
        <v>580</v>
      </c>
      <c r="F71" t="s">
        <v>3896</v>
      </c>
      <c r="G71" t="s">
        <v>580</v>
      </c>
      <c r="H71" t="s">
        <v>3163</v>
      </c>
      <c r="I71" t="s">
        <v>198</v>
      </c>
      <c r="J71" t="s">
        <v>200</v>
      </c>
      <c r="K71" t="s">
        <v>197</v>
      </c>
      <c r="L71" t="s">
        <v>200</v>
      </c>
    </row>
    <row r="72" spans="1:12">
      <c r="A72" t="s">
        <v>201</v>
      </c>
      <c r="B72" t="s">
        <v>582</v>
      </c>
      <c r="C72" t="str">
        <f>VLOOKUP(A72,new!$A$2:$B$192,2,FALSE())</f>
        <v>RM059</v>
      </c>
      <c r="D72" t="s">
        <v>582</v>
      </c>
      <c r="E72" t="s">
        <v>582</v>
      </c>
      <c r="F72" t="s">
        <v>3897</v>
      </c>
      <c r="G72" t="s">
        <v>582</v>
      </c>
      <c r="H72" t="s">
        <v>3166</v>
      </c>
      <c r="I72" t="s">
        <v>201</v>
      </c>
      <c r="J72" t="s">
        <v>203</v>
      </c>
      <c r="K72" t="s">
        <v>200</v>
      </c>
      <c r="L72" t="s">
        <v>203</v>
      </c>
    </row>
    <row r="73" spans="1:12">
      <c r="A73" t="s">
        <v>204</v>
      </c>
      <c r="B73" t="s">
        <v>582</v>
      </c>
      <c r="C73" t="str">
        <f>VLOOKUP(A73,new!$A$2:$B$192,2,FALSE())</f>
        <v>RM060</v>
      </c>
      <c r="D73" t="s">
        <v>582</v>
      </c>
      <c r="E73" t="s">
        <v>582</v>
      </c>
      <c r="F73" t="s">
        <v>3898</v>
      </c>
      <c r="G73" t="s">
        <v>582</v>
      </c>
      <c r="H73" t="s">
        <v>3166</v>
      </c>
      <c r="I73" t="s">
        <v>204</v>
      </c>
      <c r="J73" t="s">
        <v>206</v>
      </c>
      <c r="K73" t="s">
        <v>203</v>
      </c>
      <c r="L73" t="s">
        <v>206</v>
      </c>
    </row>
    <row r="74" spans="1:12">
      <c r="A74" t="s">
        <v>207</v>
      </c>
      <c r="B74" t="s">
        <v>582</v>
      </c>
      <c r="C74" t="str">
        <f>VLOOKUP(A74,new!$A$2:$B$192,2,FALSE())</f>
        <v>RM061</v>
      </c>
      <c r="D74" t="s">
        <v>582</v>
      </c>
      <c r="E74" t="s">
        <v>582</v>
      </c>
      <c r="F74" t="s">
        <v>3899</v>
      </c>
      <c r="G74" t="s">
        <v>582</v>
      </c>
      <c r="H74" t="s">
        <v>3166</v>
      </c>
      <c r="I74" t="s">
        <v>207</v>
      </c>
      <c r="J74" t="s">
        <v>209</v>
      </c>
      <c r="K74" t="s">
        <v>206</v>
      </c>
      <c r="L74" t="s">
        <v>1693</v>
      </c>
    </row>
    <row r="75" spans="1:12">
      <c r="A75" t="s">
        <v>210</v>
      </c>
      <c r="B75" t="s">
        <v>583</v>
      </c>
      <c r="C75" t="str">
        <f>VLOOKUP(A75,new!$A$2:$B$192,2,FALSE())</f>
        <v>RM062</v>
      </c>
      <c r="D75" t="s">
        <v>210</v>
      </c>
      <c r="E75" t="s">
        <v>583</v>
      </c>
      <c r="F75" t="s">
        <v>583</v>
      </c>
      <c r="G75" t="s">
        <v>583</v>
      </c>
      <c r="H75" t="s">
        <v>210</v>
      </c>
      <c r="I75" t="s">
        <v>210</v>
      </c>
      <c r="J75" t="s">
        <v>212</v>
      </c>
      <c r="K75" t="s">
        <v>209</v>
      </c>
      <c r="L75" t="s">
        <v>3294</v>
      </c>
    </row>
    <row r="76" spans="1:12">
      <c r="A76" t="s">
        <v>213</v>
      </c>
      <c r="B76" t="s">
        <v>584</v>
      </c>
      <c r="C76" t="str">
        <f>VLOOKUP(A76,new!$A$2:$B$192,2,FALSE())</f>
        <v>RM063</v>
      </c>
      <c r="D76" t="s">
        <v>584</v>
      </c>
      <c r="E76" t="s">
        <v>584</v>
      </c>
      <c r="F76" t="s">
        <v>3900</v>
      </c>
      <c r="G76" t="s">
        <v>584</v>
      </c>
      <c r="H76" t="s">
        <v>3488</v>
      </c>
      <c r="I76" t="s">
        <v>213</v>
      </c>
      <c r="J76" t="s">
        <v>215</v>
      </c>
      <c r="K76" t="s">
        <v>212</v>
      </c>
      <c r="L76" t="s">
        <v>216</v>
      </c>
    </row>
    <row r="77" spans="1:12">
      <c r="A77" t="s">
        <v>217</v>
      </c>
      <c r="B77" t="s">
        <v>584</v>
      </c>
      <c r="C77" t="str">
        <f>VLOOKUP(A77,new!$A$2:$B$192,2,FALSE())</f>
        <v>RM064</v>
      </c>
      <c r="D77" t="s">
        <v>584</v>
      </c>
      <c r="E77" t="s">
        <v>584</v>
      </c>
      <c r="F77" t="s">
        <v>3901</v>
      </c>
      <c r="G77" t="s">
        <v>584</v>
      </c>
      <c r="H77" t="s">
        <v>3488</v>
      </c>
      <c r="I77" t="s">
        <v>217</v>
      </c>
      <c r="J77" t="s">
        <v>219</v>
      </c>
      <c r="K77" t="s">
        <v>216</v>
      </c>
      <c r="L77" t="s">
        <v>3296</v>
      </c>
    </row>
    <row r="78" spans="1:12">
      <c r="A78" t="s">
        <v>220</v>
      </c>
      <c r="B78" t="s">
        <v>585</v>
      </c>
      <c r="C78" t="str">
        <f>VLOOKUP(A78,new!$A$2:$B$192,2,FALSE())</f>
        <v>RM065</v>
      </c>
      <c r="D78" t="s">
        <v>220</v>
      </c>
      <c r="E78" t="s">
        <v>585</v>
      </c>
      <c r="F78" t="s">
        <v>585</v>
      </c>
      <c r="G78" t="s">
        <v>585</v>
      </c>
      <c r="H78" t="s">
        <v>3488</v>
      </c>
      <c r="I78" t="s">
        <v>220</v>
      </c>
      <c r="J78" t="s">
        <v>222</v>
      </c>
      <c r="K78" t="s">
        <v>219</v>
      </c>
      <c r="L78" t="s">
        <v>3170</v>
      </c>
    </row>
    <row r="79" spans="1:12">
      <c r="A79" t="s">
        <v>223</v>
      </c>
      <c r="B79" t="s">
        <v>586</v>
      </c>
      <c r="C79" t="str">
        <f>VLOOKUP(A79,new!$A$2:$B$192,2,FALSE())</f>
        <v>RM066</v>
      </c>
      <c r="D79" t="s">
        <v>586</v>
      </c>
      <c r="E79" t="s">
        <v>586</v>
      </c>
      <c r="F79" t="s">
        <v>3902</v>
      </c>
      <c r="G79" t="s">
        <v>586</v>
      </c>
      <c r="H79" t="s">
        <v>223</v>
      </c>
      <c r="I79" t="s">
        <v>223</v>
      </c>
      <c r="J79" t="s">
        <v>225</v>
      </c>
      <c r="K79" t="s">
        <v>222</v>
      </c>
      <c r="L79" t="s">
        <v>225</v>
      </c>
    </row>
    <row r="80" spans="1:12">
      <c r="A80" t="s">
        <v>226</v>
      </c>
      <c r="B80" t="s">
        <v>586</v>
      </c>
      <c r="C80" t="str">
        <f>VLOOKUP(A80,new!$A$2:$B$192,2,FALSE())</f>
        <v>RM067</v>
      </c>
      <c r="D80" t="s">
        <v>586</v>
      </c>
      <c r="E80" t="s">
        <v>586</v>
      </c>
      <c r="F80" t="s">
        <v>3903</v>
      </c>
      <c r="G80" t="s">
        <v>586</v>
      </c>
      <c r="H80" t="s">
        <v>226</v>
      </c>
      <c r="I80" t="s">
        <v>226</v>
      </c>
      <c r="J80" t="s">
        <v>228</v>
      </c>
      <c r="K80" t="s">
        <v>225</v>
      </c>
      <c r="L80" t="s">
        <v>1702</v>
      </c>
    </row>
    <row r="81" spans="1:12">
      <c r="A81" t="s">
        <v>229</v>
      </c>
      <c r="B81" t="s">
        <v>587</v>
      </c>
      <c r="C81" t="str">
        <f>VLOOKUP(A81,new!$A$2:$B$192,2,FALSE())</f>
        <v>RM068</v>
      </c>
      <c r="D81" t="s">
        <v>587</v>
      </c>
      <c r="E81" t="s">
        <v>587</v>
      </c>
      <c r="F81" t="s">
        <v>587</v>
      </c>
      <c r="G81" t="s">
        <v>587</v>
      </c>
      <c r="H81" t="s">
        <v>3462</v>
      </c>
      <c r="I81" t="s">
        <v>229</v>
      </c>
      <c r="J81" t="s">
        <v>231</v>
      </c>
      <c r="K81" t="s">
        <v>228</v>
      </c>
      <c r="L81" t="s">
        <v>3412</v>
      </c>
    </row>
    <row r="82" spans="1:12">
      <c r="A82" t="s">
        <v>232</v>
      </c>
      <c r="B82" t="s">
        <v>587</v>
      </c>
      <c r="C82" t="str">
        <f>VLOOKUP(A82,new!$A$2:$B$192,2,FALSE())</f>
        <v>RM069</v>
      </c>
      <c r="D82" t="s">
        <v>587</v>
      </c>
      <c r="E82" t="s">
        <v>587</v>
      </c>
      <c r="F82" t="s">
        <v>587</v>
      </c>
      <c r="G82" t="s">
        <v>587</v>
      </c>
      <c r="H82" t="s">
        <v>3462</v>
      </c>
      <c r="I82" t="s">
        <v>232</v>
      </c>
      <c r="J82" t="s">
        <v>234</v>
      </c>
      <c r="K82" t="s">
        <v>231</v>
      </c>
      <c r="L82" t="s">
        <v>3288</v>
      </c>
    </row>
    <row r="83" spans="1:12">
      <c r="A83" t="s">
        <v>235</v>
      </c>
      <c r="B83" t="s">
        <v>587</v>
      </c>
      <c r="C83" t="str">
        <f>VLOOKUP(A83,new!$A$2:$B$192,2,FALSE())</f>
        <v>RM070</v>
      </c>
      <c r="D83" t="s">
        <v>587</v>
      </c>
      <c r="E83" t="s">
        <v>587</v>
      </c>
      <c r="F83" t="s">
        <v>587</v>
      </c>
      <c r="G83" t="s">
        <v>587</v>
      </c>
      <c r="H83" t="s">
        <v>3462</v>
      </c>
      <c r="I83" t="s">
        <v>235</v>
      </c>
      <c r="J83" t="s">
        <v>237</v>
      </c>
      <c r="K83" t="s">
        <v>234</v>
      </c>
      <c r="L83" t="s">
        <v>3293</v>
      </c>
    </row>
    <row r="84" spans="1:12">
      <c r="A84" t="s">
        <v>238</v>
      </c>
      <c r="B84" t="s">
        <v>587</v>
      </c>
      <c r="C84" t="str">
        <f>VLOOKUP(A84,new!$A$2:$B$192,2,FALSE())</f>
        <v>RM071</v>
      </c>
      <c r="D84" t="s">
        <v>587</v>
      </c>
      <c r="E84" t="s">
        <v>587</v>
      </c>
      <c r="F84" t="s">
        <v>587</v>
      </c>
      <c r="G84" t="s">
        <v>587</v>
      </c>
      <c r="H84" t="s">
        <v>3462</v>
      </c>
      <c r="I84" t="s">
        <v>238</v>
      </c>
      <c r="J84" t="s">
        <v>240</v>
      </c>
      <c r="K84" t="s">
        <v>237</v>
      </c>
      <c r="L84" t="s">
        <v>1705</v>
      </c>
    </row>
    <row r="85" spans="1:12">
      <c r="A85" t="s">
        <v>241</v>
      </c>
      <c r="B85" t="s">
        <v>587</v>
      </c>
      <c r="C85" t="str">
        <f>VLOOKUP(A85,new!$A$2:$B$192,2,FALSE())</f>
        <v>RM072</v>
      </c>
      <c r="D85" t="s">
        <v>587</v>
      </c>
      <c r="E85" t="s">
        <v>587</v>
      </c>
      <c r="F85" t="s">
        <v>587</v>
      </c>
      <c r="G85" t="s">
        <v>587</v>
      </c>
      <c r="H85" t="s">
        <v>3462</v>
      </c>
      <c r="I85" t="s">
        <v>241</v>
      </c>
      <c r="J85" t="s">
        <v>243</v>
      </c>
      <c r="K85" t="s">
        <v>240</v>
      </c>
      <c r="L85" t="s">
        <v>3290</v>
      </c>
    </row>
    <row r="86" spans="1:12">
      <c r="A86" t="s">
        <v>244</v>
      </c>
      <c r="B86" t="s">
        <v>587</v>
      </c>
      <c r="C86" t="str">
        <f>VLOOKUP(A86,new!$A$2:$B$192,2,FALSE())</f>
        <v>RM073</v>
      </c>
      <c r="D86" t="s">
        <v>587</v>
      </c>
      <c r="E86" t="s">
        <v>587</v>
      </c>
      <c r="F86" t="s">
        <v>587</v>
      </c>
      <c r="G86" t="s">
        <v>587</v>
      </c>
      <c r="H86" t="s">
        <v>3462</v>
      </c>
      <c r="I86" t="s">
        <v>244</v>
      </c>
      <c r="J86" t="s">
        <v>246</v>
      </c>
      <c r="K86" t="s">
        <v>249</v>
      </c>
      <c r="L86" t="s">
        <v>3260</v>
      </c>
    </row>
    <row r="87" spans="1:12">
      <c r="A87" t="s">
        <v>247</v>
      </c>
      <c r="B87" t="s">
        <v>587</v>
      </c>
      <c r="C87" t="str">
        <f>VLOOKUP(A87,new!$A$2:$B$192,2,FALSE())</f>
        <v>RM074</v>
      </c>
      <c r="D87" t="s">
        <v>587</v>
      </c>
      <c r="E87" t="s">
        <v>587</v>
      </c>
      <c r="F87" t="s">
        <v>587</v>
      </c>
      <c r="G87" t="s">
        <v>587</v>
      </c>
      <c r="H87" t="s">
        <v>3462</v>
      </c>
      <c r="I87" t="s">
        <v>247</v>
      </c>
      <c r="J87" t="s">
        <v>249</v>
      </c>
      <c r="K87" t="s">
        <v>246</v>
      </c>
      <c r="L87" t="s">
        <v>1704</v>
      </c>
    </row>
    <row r="88" spans="1:12">
      <c r="A88" t="s">
        <v>250</v>
      </c>
      <c r="B88" t="s">
        <v>587</v>
      </c>
      <c r="C88" t="str">
        <f>VLOOKUP(A88,new!$A$2:$B$192,2,FALSE())</f>
        <v>RM075</v>
      </c>
      <c r="D88" t="s">
        <v>587</v>
      </c>
      <c r="E88" t="s">
        <v>587</v>
      </c>
      <c r="F88" t="s">
        <v>587</v>
      </c>
      <c r="G88" t="s">
        <v>587</v>
      </c>
      <c r="H88" t="s">
        <v>3462</v>
      </c>
      <c r="I88" t="s">
        <v>250</v>
      </c>
      <c r="J88" t="s">
        <v>252</v>
      </c>
      <c r="K88" t="s">
        <v>249</v>
      </c>
      <c r="L88" t="s">
        <v>252</v>
      </c>
    </row>
    <row r="89" spans="1:12">
      <c r="A89" t="s">
        <v>253</v>
      </c>
      <c r="B89" t="s">
        <v>588</v>
      </c>
      <c r="C89" t="str">
        <f>VLOOKUP(A89,new!$A$2:$B$192,2,FALSE())</f>
        <v>RM076</v>
      </c>
      <c r="D89" t="s">
        <v>253</v>
      </c>
      <c r="E89" t="s">
        <v>588</v>
      </c>
      <c r="F89" t="s">
        <v>588</v>
      </c>
      <c r="G89" t="s">
        <v>588</v>
      </c>
      <c r="H89" t="s">
        <v>3462</v>
      </c>
      <c r="I89" t="s">
        <v>253</v>
      </c>
      <c r="J89" t="s">
        <v>255</v>
      </c>
      <c r="K89" t="s">
        <v>252</v>
      </c>
      <c r="L89" t="s">
        <v>3173</v>
      </c>
    </row>
    <row r="90" spans="1:12">
      <c r="A90" t="s">
        <v>256</v>
      </c>
      <c r="B90" t="s">
        <v>589</v>
      </c>
      <c r="C90" t="str">
        <f>VLOOKUP(A90,new!$A$2:$B$192,2,FALSE())</f>
        <v>RM077</v>
      </c>
      <c r="D90" t="s">
        <v>589</v>
      </c>
      <c r="E90" t="s">
        <v>589</v>
      </c>
      <c r="F90" t="s">
        <v>3904</v>
      </c>
      <c r="G90" t="s">
        <v>589</v>
      </c>
      <c r="H90" t="s">
        <v>3485</v>
      </c>
      <c r="I90" t="s">
        <v>256</v>
      </c>
      <c r="J90" t="s">
        <v>258</v>
      </c>
      <c r="K90" t="s">
        <v>255</v>
      </c>
      <c r="L90" t="s">
        <v>1708</v>
      </c>
    </row>
    <row r="91" spans="1:12">
      <c r="A91" t="s">
        <v>259</v>
      </c>
      <c r="B91" t="s">
        <v>589</v>
      </c>
      <c r="C91" t="str">
        <f>VLOOKUP(A91,new!$A$2:$B$192,2,FALSE())</f>
        <v>RM078</v>
      </c>
      <c r="D91" t="s">
        <v>589</v>
      </c>
      <c r="E91" t="s">
        <v>589</v>
      </c>
      <c r="F91" t="s">
        <v>3905</v>
      </c>
      <c r="G91" t="s">
        <v>589</v>
      </c>
      <c r="H91" t="s">
        <v>3485</v>
      </c>
      <c r="I91" t="s">
        <v>259</v>
      </c>
      <c r="J91" t="s">
        <v>261</v>
      </c>
      <c r="K91" t="s">
        <v>258</v>
      </c>
      <c r="L91" t="s">
        <v>261</v>
      </c>
    </row>
    <row r="92" spans="1:12">
      <c r="A92" t="s">
        <v>262</v>
      </c>
      <c r="B92" t="s">
        <v>590</v>
      </c>
      <c r="C92" t="str">
        <f>VLOOKUP(A92,new!$A$2:$B$192,2,FALSE())</f>
        <v>RM079</v>
      </c>
      <c r="D92" t="s">
        <v>590</v>
      </c>
      <c r="E92" t="s">
        <v>3177</v>
      </c>
      <c r="F92" t="s">
        <v>3177</v>
      </c>
      <c r="G92" t="s">
        <v>3177</v>
      </c>
      <c r="H92" t="s">
        <v>3176</v>
      </c>
      <c r="I92" t="s">
        <v>262</v>
      </c>
      <c r="J92" t="s">
        <v>264</v>
      </c>
      <c r="K92" t="s">
        <v>261</v>
      </c>
      <c r="L92" t="s">
        <v>1713</v>
      </c>
    </row>
    <row r="93" spans="1:12">
      <c r="A93" t="s">
        <v>265</v>
      </c>
      <c r="B93" t="s">
        <v>590</v>
      </c>
      <c r="C93" t="str">
        <f>VLOOKUP(A93,new!$A$2:$B$192,2,FALSE())</f>
        <v>RM080</v>
      </c>
      <c r="D93" t="s">
        <v>590</v>
      </c>
      <c r="E93" t="s">
        <v>3178</v>
      </c>
      <c r="F93" t="s">
        <v>3178</v>
      </c>
      <c r="G93" t="s">
        <v>3178</v>
      </c>
      <c r="H93" t="s">
        <v>3176</v>
      </c>
      <c r="I93" t="s">
        <v>265</v>
      </c>
      <c r="J93" t="s">
        <v>267</v>
      </c>
      <c r="K93" t="s">
        <v>264</v>
      </c>
      <c r="L93" t="s">
        <v>3423</v>
      </c>
    </row>
    <row r="94" spans="1:12">
      <c r="A94" t="s">
        <v>268</v>
      </c>
      <c r="B94" t="s">
        <v>590</v>
      </c>
      <c r="C94" t="str">
        <f>VLOOKUP(A94,new!$A$2:$B$192,2,FALSE())</f>
        <v>RM081</v>
      </c>
      <c r="D94" t="s">
        <v>590</v>
      </c>
      <c r="E94" t="s">
        <v>3178</v>
      </c>
      <c r="F94" t="s">
        <v>3178</v>
      </c>
      <c r="G94" t="s">
        <v>3178</v>
      </c>
      <c r="H94" t="s">
        <v>3176</v>
      </c>
      <c r="I94" t="s">
        <v>268</v>
      </c>
      <c r="J94" t="s">
        <v>270</v>
      </c>
      <c r="K94" t="s">
        <v>267</v>
      </c>
      <c r="L94" t="s">
        <v>3425</v>
      </c>
    </row>
    <row r="95" spans="1:12">
      <c r="A95" t="s">
        <v>271</v>
      </c>
      <c r="B95" t="s">
        <v>590</v>
      </c>
      <c r="C95" t="str">
        <f>VLOOKUP(A95,new!$A$2:$B$192,2,FALSE())</f>
        <v>RM082</v>
      </c>
      <c r="D95" t="s">
        <v>590</v>
      </c>
      <c r="E95" t="s">
        <v>3178</v>
      </c>
      <c r="F95" t="s">
        <v>3178</v>
      </c>
      <c r="G95" t="s">
        <v>3178</v>
      </c>
      <c r="H95" t="s">
        <v>3176</v>
      </c>
      <c r="I95" t="s">
        <v>271</v>
      </c>
      <c r="J95" t="s">
        <v>273</v>
      </c>
      <c r="K95" t="s">
        <v>270</v>
      </c>
      <c r="L95" t="s">
        <v>3318</v>
      </c>
    </row>
    <row r="96" spans="1:12">
      <c r="A96" t="s">
        <v>274</v>
      </c>
      <c r="B96" t="s">
        <v>590</v>
      </c>
      <c r="C96" t="str">
        <f>VLOOKUP(A96,new!$A$2:$B$192,2,FALSE())</f>
        <v>RM083</v>
      </c>
      <c r="D96" t="s">
        <v>590</v>
      </c>
      <c r="E96" t="s">
        <v>3178</v>
      </c>
      <c r="F96" t="s">
        <v>3178</v>
      </c>
      <c r="G96" t="s">
        <v>3178</v>
      </c>
      <c r="H96" t="s">
        <v>3176</v>
      </c>
      <c r="I96" t="s">
        <v>274</v>
      </c>
      <c r="J96" t="s">
        <v>276</v>
      </c>
      <c r="K96" t="s">
        <v>273</v>
      </c>
      <c r="L96" t="s">
        <v>3428</v>
      </c>
    </row>
    <row r="97" spans="1:12">
      <c r="A97" t="s">
        <v>278</v>
      </c>
      <c r="B97" t="s">
        <v>590</v>
      </c>
      <c r="C97" t="str">
        <f>VLOOKUP(A97,new!$A$2:$B$192,2,FALSE())</f>
        <v>RM084</v>
      </c>
      <c r="D97" t="s">
        <v>590</v>
      </c>
      <c r="E97" t="s">
        <v>3178</v>
      </c>
      <c r="F97" t="s">
        <v>3178</v>
      </c>
      <c r="G97" t="s">
        <v>3178</v>
      </c>
      <c r="H97" t="s">
        <v>3176</v>
      </c>
      <c r="I97" t="s">
        <v>278</v>
      </c>
      <c r="J97" t="s">
        <v>280</v>
      </c>
      <c r="K97" t="s">
        <v>277</v>
      </c>
      <c r="L97" t="s">
        <v>3430</v>
      </c>
    </row>
    <row r="98" spans="1:12">
      <c r="A98" t="s">
        <v>281</v>
      </c>
      <c r="B98" t="s">
        <v>590</v>
      </c>
      <c r="C98" t="str">
        <f>VLOOKUP(A98,new!$A$2:$B$192,2,FALSE())</f>
        <v>RM085</v>
      </c>
      <c r="D98" t="s">
        <v>590</v>
      </c>
      <c r="E98" t="s">
        <v>3178</v>
      </c>
      <c r="F98" t="s">
        <v>3178</v>
      </c>
      <c r="G98" t="s">
        <v>3178</v>
      </c>
      <c r="H98" t="s">
        <v>3176</v>
      </c>
      <c r="I98" t="s">
        <v>281</v>
      </c>
      <c r="J98" t="s">
        <v>283</v>
      </c>
      <c r="K98" t="s">
        <v>280</v>
      </c>
      <c r="L98" t="s">
        <v>3297</v>
      </c>
    </row>
    <row r="99" spans="1:12">
      <c r="A99" t="s">
        <v>284</v>
      </c>
      <c r="B99" t="s">
        <v>590</v>
      </c>
      <c r="C99" t="str">
        <f>VLOOKUP(A99,new!$A$2:$B$192,2,FALSE())</f>
        <v>RM086</v>
      </c>
      <c r="D99" t="s">
        <v>590</v>
      </c>
      <c r="E99" t="s">
        <v>3178</v>
      </c>
      <c r="F99" t="s">
        <v>3178</v>
      </c>
      <c r="G99" t="s">
        <v>3178</v>
      </c>
      <c r="H99" t="s">
        <v>3176</v>
      </c>
      <c r="I99" t="s">
        <v>284</v>
      </c>
      <c r="J99" t="s">
        <v>286</v>
      </c>
      <c r="K99" t="s">
        <v>283</v>
      </c>
      <c r="L99" t="s">
        <v>1711</v>
      </c>
    </row>
    <row r="100" spans="1:12">
      <c r="A100" t="s">
        <v>287</v>
      </c>
      <c r="B100" t="s">
        <v>591</v>
      </c>
      <c r="C100" t="str">
        <f>VLOOKUP(A100,new!$A$2:$B$192,2,FALSE())</f>
        <v>RM087</v>
      </c>
      <c r="D100" t="s">
        <v>591</v>
      </c>
      <c r="E100" t="s">
        <v>3179</v>
      </c>
      <c r="F100" t="s">
        <v>3179</v>
      </c>
      <c r="G100" t="s">
        <v>3179</v>
      </c>
      <c r="H100" t="s">
        <v>3469</v>
      </c>
      <c r="I100" t="s">
        <v>287</v>
      </c>
      <c r="J100" t="s">
        <v>289</v>
      </c>
      <c r="K100" t="s">
        <v>286</v>
      </c>
      <c r="L100" t="s">
        <v>3281</v>
      </c>
    </row>
    <row r="101" spans="1:12">
      <c r="A101" t="s">
        <v>290</v>
      </c>
      <c r="B101" t="s">
        <v>591</v>
      </c>
      <c r="C101" t="str">
        <f>VLOOKUP(A101,new!$A$2:$B$192,2,FALSE())</f>
        <v>RM088</v>
      </c>
      <c r="D101" t="s">
        <v>591</v>
      </c>
      <c r="E101" t="s">
        <v>3180</v>
      </c>
      <c r="F101" t="s">
        <v>3180</v>
      </c>
      <c r="G101" t="s">
        <v>3180</v>
      </c>
      <c r="H101" t="s">
        <v>3480</v>
      </c>
      <c r="I101" t="s">
        <v>3434</v>
      </c>
      <c r="J101" t="s">
        <v>292</v>
      </c>
      <c r="K101" t="s">
        <v>289</v>
      </c>
      <c r="L101" t="s">
        <v>3298</v>
      </c>
    </row>
    <row r="102" spans="1:12">
      <c r="A102" t="s">
        <v>293</v>
      </c>
      <c r="B102" t="s">
        <v>591</v>
      </c>
      <c r="C102" t="str">
        <f>VLOOKUP(A102,new!$A$2:$B$192,2,FALSE())</f>
        <v>RM089</v>
      </c>
      <c r="D102" t="s">
        <v>591</v>
      </c>
      <c r="E102" t="s">
        <v>3180</v>
      </c>
      <c r="F102" t="s">
        <v>3180</v>
      </c>
      <c r="G102" t="s">
        <v>3180</v>
      </c>
      <c r="H102" t="s">
        <v>3480</v>
      </c>
      <c r="I102" t="s">
        <v>3434</v>
      </c>
      <c r="J102" t="s">
        <v>295</v>
      </c>
      <c r="K102" t="s">
        <v>292</v>
      </c>
      <c r="L102" t="s">
        <v>3299</v>
      </c>
    </row>
    <row r="103" spans="1:12">
      <c r="A103" t="s">
        <v>296</v>
      </c>
      <c r="B103" t="s">
        <v>591</v>
      </c>
      <c r="C103" t="str">
        <f>VLOOKUP(A103,new!$A$2:$B$192,2,FALSE())</f>
        <v>RM090</v>
      </c>
      <c r="D103" t="s">
        <v>591</v>
      </c>
      <c r="E103" t="s">
        <v>3180</v>
      </c>
      <c r="F103" t="s">
        <v>3180</v>
      </c>
      <c r="G103" t="s">
        <v>3180</v>
      </c>
      <c r="H103" t="s">
        <v>3480</v>
      </c>
      <c r="I103" t="s">
        <v>3434</v>
      </c>
      <c r="J103" t="s">
        <v>298</v>
      </c>
      <c r="K103" t="s">
        <v>295</v>
      </c>
      <c r="L103" t="s">
        <v>3300</v>
      </c>
    </row>
    <row r="104" spans="1:12">
      <c r="A104" t="s">
        <v>299</v>
      </c>
      <c r="B104" t="s">
        <v>591</v>
      </c>
      <c r="C104" t="str">
        <f>VLOOKUP(A104,new!$A$2:$B$192,2,FALSE())</f>
        <v>RM091</v>
      </c>
      <c r="D104" t="s">
        <v>591</v>
      </c>
      <c r="E104" t="s">
        <v>3180</v>
      </c>
      <c r="F104" t="s">
        <v>3180</v>
      </c>
      <c r="G104" t="s">
        <v>3180</v>
      </c>
      <c r="H104" t="s">
        <v>3480</v>
      </c>
      <c r="I104" t="s">
        <v>299</v>
      </c>
      <c r="J104" t="s">
        <v>301</v>
      </c>
      <c r="K104" t="s">
        <v>298</v>
      </c>
      <c r="L104" t="s">
        <v>301</v>
      </c>
    </row>
    <row r="105" spans="1:12">
      <c r="A105" t="s">
        <v>302</v>
      </c>
      <c r="B105" t="s">
        <v>591</v>
      </c>
      <c r="C105" t="str">
        <f>VLOOKUP(A105,new!$A$2:$B$192,2,FALSE())</f>
        <v>RM092</v>
      </c>
      <c r="D105" t="s">
        <v>591</v>
      </c>
      <c r="E105" t="s">
        <v>3180</v>
      </c>
      <c r="F105" t="s">
        <v>3180</v>
      </c>
      <c r="G105" t="s">
        <v>3180</v>
      </c>
      <c r="H105" t="s">
        <v>3480</v>
      </c>
      <c r="I105" t="s">
        <v>3436</v>
      </c>
      <c r="J105" t="s">
        <v>304</v>
      </c>
      <c r="K105" t="s">
        <v>301</v>
      </c>
      <c r="L105" t="s">
        <v>304</v>
      </c>
    </row>
    <row r="106" spans="1:12">
      <c r="A106" t="s">
        <v>305</v>
      </c>
      <c r="B106" t="s">
        <v>591</v>
      </c>
      <c r="C106" t="str">
        <f>VLOOKUP(A106,new!$A$2:$B$192,2,FALSE())</f>
        <v>RM093</v>
      </c>
      <c r="D106" t="s">
        <v>591</v>
      </c>
      <c r="E106" t="s">
        <v>3180</v>
      </c>
      <c r="F106" t="s">
        <v>3180</v>
      </c>
      <c r="G106" t="s">
        <v>3180</v>
      </c>
      <c r="H106" t="s">
        <v>3480</v>
      </c>
      <c r="I106" t="s">
        <v>3436</v>
      </c>
      <c r="J106" t="s">
        <v>307</v>
      </c>
      <c r="K106" t="s">
        <v>304</v>
      </c>
      <c r="L106" t="s">
        <v>307</v>
      </c>
    </row>
    <row r="107" spans="1:12">
      <c r="A107" t="s">
        <v>308</v>
      </c>
      <c r="B107" t="s">
        <v>591</v>
      </c>
      <c r="C107" t="str">
        <f>VLOOKUP(A107,new!$A$2:$B$192,2,FALSE())</f>
        <v>RM094</v>
      </c>
      <c r="D107" t="s">
        <v>591</v>
      </c>
      <c r="E107" t="s">
        <v>3180</v>
      </c>
      <c r="F107" t="s">
        <v>3180</v>
      </c>
      <c r="G107" t="s">
        <v>3180</v>
      </c>
      <c r="H107" t="s">
        <v>3480</v>
      </c>
      <c r="I107" t="s">
        <v>3436</v>
      </c>
      <c r="J107" t="s">
        <v>310</v>
      </c>
      <c r="K107" t="s">
        <v>307</v>
      </c>
      <c r="L107" t="s">
        <v>310</v>
      </c>
    </row>
    <row r="108" spans="1:12">
      <c r="A108" t="s">
        <v>311</v>
      </c>
      <c r="B108" t="s">
        <v>591</v>
      </c>
      <c r="C108" t="str">
        <f>VLOOKUP(A108,new!$A$2:$B$192,2,FALSE())</f>
        <v>RM095</v>
      </c>
      <c r="D108" t="s">
        <v>591</v>
      </c>
      <c r="E108" t="s">
        <v>3180</v>
      </c>
      <c r="F108" t="s">
        <v>3180</v>
      </c>
      <c r="G108" t="s">
        <v>3180</v>
      </c>
      <c r="H108" t="s">
        <v>3480</v>
      </c>
      <c r="I108" t="s">
        <v>311</v>
      </c>
      <c r="J108" t="s">
        <v>313</v>
      </c>
      <c r="K108" t="s">
        <v>310</v>
      </c>
      <c r="L108" t="s">
        <v>313</v>
      </c>
    </row>
    <row r="109" spans="1:12">
      <c r="A109" t="s">
        <v>314</v>
      </c>
      <c r="B109" t="s">
        <v>591</v>
      </c>
      <c r="C109" t="str">
        <f>VLOOKUP(A109,new!$A$2:$B$192,2,FALSE())</f>
        <v>RM096</v>
      </c>
      <c r="D109" t="s">
        <v>591</v>
      </c>
      <c r="E109" t="s">
        <v>3180</v>
      </c>
      <c r="F109" t="s">
        <v>3180</v>
      </c>
      <c r="G109" t="s">
        <v>3180</v>
      </c>
      <c r="H109" t="s">
        <v>3480</v>
      </c>
      <c r="I109" t="s">
        <v>3438</v>
      </c>
      <c r="J109" t="s">
        <v>316</v>
      </c>
      <c r="K109" t="s">
        <v>313</v>
      </c>
      <c r="L109" t="s">
        <v>3305</v>
      </c>
    </row>
    <row r="110" spans="1:12">
      <c r="A110" t="s">
        <v>317</v>
      </c>
      <c r="B110" t="s">
        <v>591</v>
      </c>
      <c r="C110" t="str">
        <f>VLOOKUP(A110,new!$A$2:$B$192,2,FALSE())</f>
        <v>RM097</v>
      </c>
      <c r="D110" t="s">
        <v>591</v>
      </c>
      <c r="E110" t="s">
        <v>3180</v>
      </c>
      <c r="F110" t="s">
        <v>3180</v>
      </c>
      <c r="G110" t="s">
        <v>3180</v>
      </c>
      <c r="H110" t="s">
        <v>3480</v>
      </c>
      <c r="I110" t="s">
        <v>3438</v>
      </c>
      <c r="J110" t="s">
        <v>319</v>
      </c>
      <c r="K110" t="s">
        <v>316</v>
      </c>
      <c r="L110" t="s">
        <v>3306</v>
      </c>
    </row>
    <row r="111" spans="1:12">
      <c r="A111" t="s">
        <v>321</v>
      </c>
      <c r="B111" t="s">
        <v>591</v>
      </c>
      <c r="C111" t="str">
        <f>VLOOKUP(A111,new!$A$2:$B$192,2,FALSE())</f>
        <v>RM097</v>
      </c>
      <c r="D111" t="s">
        <v>591</v>
      </c>
      <c r="E111" t="s">
        <v>3180</v>
      </c>
      <c r="F111" t="s">
        <v>3180</v>
      </c>
      <c r="G111" t="s">
        <v>3180</v>
      </c>
      <c r="H111" t="s">
        <v>3480</v>
      </c>
      <c r="I111" t="s">
        <v>3438</v>
      </c>
      <c r="J111" t="s">
        <v>322</v>
      </c>
      <c r="K111" t="s">
        <v>320</v>
      </c>
      <c r="L111" t="s">
        <v>3308</v>
      </c>
    </row>
    <row r="112" spans="1:12">
      <c r="A112" t="s">
        <v>323</v>
      </c>
      <c r="B112" t="s">
        <v>591</v>
      </c>
      <c r="C112" t="str">
        <f>VLOOKUP(A112,new!$A$2:$B$192,2,FALSE())</f>
        <v>RM097</v>
      </c>
      <c r="D112" t="s">
        <v>591</v>
      </c>
      <c r="E112" t="s">
        <v>3180</v>
      </c>
      <c r="F112" t="s">
        <v>3180</v>
      </c>
      <c r="G112" t="s">
        <v>3180</v>
      </c>
      <c r="H112" t="s">
        <v>3480</v>
      </c>
      <c r="I112" t="s">
        <v>3438</v>
      </c>
      <c r="J112" t="s">
        <v>324</v>
      </c>
      <c r="K112" t="s">
        <v>320</v>
      </c>
      <c r="L112" t="s">
        <v>3309</v>
      </c>
    </row>
    <row r="113" spans="1:12">
      <c r="A113" t="s">
        <v>325</v>
      </c>
      <c r="B113" t="s">
        <v>591</v>
      </c>
      <c r="C113" t="str">
        <f>VLOOKUP(A113,new!$A$2:$B$192,2,FALSE())</f>
        <v>RM097</v>
      </c>
      <c r="D113" t="s">
        <v>591</v>
      </c>
      <c r="E113" t="s">
        <v>3180</v>
      </c>
      <c r="F113" t="s">
        <v>3180</v>
      </c>
      <c r="G113" t="s">
        <v>3180</v>
      </c>
      <c r="H113" t="s">
        <v>3480</v>
      </c>
      <c r="I113" t="s">
        <v>3438</v>
      </c>
      <c r="J113" t="s">
        <v>326</v>
      </c>
      <c r="K113" t="s">
        <v>320</v>
      </c>
      <c r="L113" t="s">
        <v>3310</v>
      </c>
    </row>
    <row r="114" spans="1:12">
      <c r="A114" t="s">
        <v>327</v>
      </c>
      <c r="B114" t="s">
        <v>591</v>
      </c>
      <c r="C114" t="str">
        <f>VLOOKUP(A114,new!$A$2:$B$192,2,FALSE())</f>
        <v>RM097</v>
      </c>
      <c r="D114" t="s">
        <v>591</v>
      </c>
      <c r="E114" t="s">
        <v>3180</v>
      </c>
      <c r="F114" t="s">
        <v>3180</v>
      </c>
      <c r="G114" t="s">
        <v>3180</v>
      </c>
      <c r="H114" t="s">
        <v>3480</v>
      </c>
      <c r="I114" t="s">
        <v>3438</v>
      </c>
      <c r="J114" t="s">
        <v>328</v>
      </c>
      <c r="K114" t="s">
        <v>320</v>
      </c>
      <c r="L114" t="s">
        <v>3311</v>
      </c>
    </row>
    <row r="115" spans="1:12">
      <c r="A115" t="s">
        <v>329</v>
      </c>
      <c r="B115" t="s">
        <v>591</v>
      </c>
      <c r="C115" t="str">
        <f>VLOOKUP(A115,new!$A$2:$B$192,2,FALSE())</f>
        <v>RM097</v>
      </c>
      <c r="D115" t="s">
        <v>591</v>
      </c>
      <c r="E115" t="s">
        <v>3180</v>
      </c>
      <c r="F115" t="s">
        <v>3180</v>
      </c>
      <c r="G115" t="s">
        <v>3180</v>
      </c>
      <c r="H115" t="s">
        <v>3480</v>
      </c>
      <c r="I115" t="s">
        <v>3438</v>
      </c>
      <c r="J115" t="s">
        <v>330</v>
      </c>
      <c r="K115" t="s">
        <v>320</v>
      </c>
      <c r="L115" t="s">
        <v>3312</v>
      </c>
    </row>
    <row r="116" spans="1:12">
      <c r="A116" t="s">
        <v>331</v>
      </c>
      <c r="B116" t="s">
        <v>591</v>
      </c>
      <c r="C116" t="str">
        <f>VLOOKUP(A116,new!$A$2:$B$192,2,FALSE())</f>
        <v>RM097</v>
      </c>
      <c r="D116" t="s">
        <v>591</v>
      </c>
      <c r="E116" t="s">
        <v>3180</v>
      </c>
      <c r="F116" t="s">
        <v>3180</v>
      </c>
      <c r="G116" t="s">
        <v>3180</v>
      </c>
      <c r="H116" t="s">
        <v>3480</v>
      </c>
      <c r="I116" t="s">
        <v>3438</v>
      </c>
      <c r="J116" t="s">
        <v>320</v>
      </c>
      <c r="K116" t="s">
        <v>320</v>
      </c>
      <c r="L116" t="s">
        <v>3307</v>
      </c>
    </row>
    <row r="117" spans="1:12">
      <c r="A117" t="s">
        <v>332</v>
      </c>
      <c r="B117" t="s">
        <v>591</v>
      </c>
      <c r="C117" t="str">
        <f>VLOOKUP(A117,new!$A$2:$B$192,2,FALSE())</f>
        <v>RM098</v>
      </c>
      <c r="D117" t="s">
        <v>591</v>
      </c>
      <c r="E117" t="s">
        <v>3180</v>
      </c>
      <c r="F117" t="s">
        <v>3180</v>
      </c>
      <c r="G117" t="s">
        <v>3180</v>
      </c>
      <c r="H117" t="s">
        <v>332</v>
      </c>
      <c r="I117" t="s">
        <v>332</v>
      </c>
      <c r="J117" t="s">
        <v>334</v>
      </c>
      <c r="K117" t="s">
        <v>320</v>
      </c>
      <c r="L117" t="s">
        <v>3289</v>
      </c>
    </row>
    <row r="118" spans="1:12">
      <c r="A118" t="s">
        <v>335</v>
      </c>
      <c r="B118" t="s">
        <v>591</v>
      </c>
      <c r="C118" t="str">
        <f>VLOOKUP(A118,new!$A$2:$B$192,2,FALSE())</f>
        <v>RM099</v>
      </c>
      <c r="D118" t="s">
        <v>591</v>
      </c>
      <c r="E118" t="s">
        <v>3181</v>
      </c>
      <c r="F118" t="s">
        <v>3181</v>
      </c>
      <c r="G118" t="s">
        <v>3181</v>
      </c>
      <c r="H118" t="s">
        <v>3469</v>
      </c>
      <c r="I118" t="s">
        <v>335</v>
      </c>
      <c r="J118" t="s">
        <v>337</v>
      </c>
      <c r="K118" t="s">
        <v>334</v>
      </c>
      <c r="L118" t="s">
        <v>3301</v>
      </c>
    </row>
    <row r="119" spans="1:12">
      <c r="A119" t="s">
        <v>339</v>
      </c>
      <c r="B119" t="s">
        <v>591</v>
      </c>
      <c r="C119" t="str">
        <f>VLOOKUP(A119,new!$A$2:$B$192,2,FALSE())</f>
        <v>RM099</v>
      </c>
      <c r="D119" t="s">
        <v>591</v>
      </c>
      <c r="E119" t="s">
        <v>3181</v>
      </c>
      <c r="F119" t="s">
        <v>3181</v>
      </c>
      <c r="G119" t="s">
        <v>3181</v>
      </c>
      <c r="H119" t="s">
        <v>3469</v>
      </c>
      <c r="I119" t="s">
        <v>339</v>
      </c>
      <c r="J119" t="s">
        <v>340</v>
      </c>
      <c r="K119" t="s">
        <v>338</v>
      </c>
      <c r="L119" t="s">
        <v>3302</v>
      </c>
    </row>
    <row r="120" spans="1:12">
      <c r="A120" t="s">
        <v>341</v>
      </c>
      <c r="B120" t="s">
        <v>591</v>
      </c>
      <c r="C120" t="str">
        <f>VLOOKUP(A120,new!$A$2:$B$192,2,FALSE())</f>
        <v>RM100</v>
      </c>
      <c r="D120" t="s">
        <v>591</v>
      </c>
      <c r="E120" t="s">
        <v>3181</v>
      </c>
      <c r="F120" t="s">
        <v>3181</v>
      </c>
      <c r="G120" t="s">
        <v>3181</v>
      </c>
      <c r="H120" t="s">
        <v>3480</v>
      </c>
      <c r="I120" t="s">
        <v>341</v>
      </c>
      <c r="J120" t="s">
        <v>343</v>
      </c>
      <c r="K120" t="s">
        <v>338</v>
      </c>
      <c r="L120" t="s">
        <v>3440</v>
      </c>
    </row>
    <row r="121" spans="1:12">
      <c r="A121" t="s">
        <v>345</v>
      </c>
      <c r="B121" t="s">
        <v>591</v>
      </c>
      <c r="C121" t="str">
        <f>VLOOKUP(A121,new!$A$2:$B$192,2,FALSE())</f>
        <v>RM100</v>
      </c>
      <c r="D121" t="s">
        <v>591</v>
      </c>
      <c r="E121" t="s">
        <v>3181</v>
      </c>
      <c r="F121" t="s">
        <v>3181</v>
      </c>
      <c r="G121" t="s">
        <v>3181</v>
      </c>
      <c r="H121" t="s">
        <v>3480</v>
      </c>
      <c r="I121" t="s">
        <v>345</v>
      </c>
      <c r="J121" t="s">
        <v>344</v>
      </c>
      <c r="K121" t="s">
        <v>3906</v>
      </c>
      <c r="L121" t="s">
        <v>3441</v>
      </c>
    </row>
    <row r="122" spans="1:12">
      <c r="A122" t="s">
        <v>346</v>
      </c>
      <c r="B122" t="s">
        <v>599</v>
      </c>
      <c r="C122" t="str">
        <f>VLOOKUP(A122,new!$A$2:$B$192,2,FALSE())</f>
        <v>RM101</v>
      </c>
      <c r="D122" t="s">
        <v>599</v>
      </c>
      <c r="E122" t="s">
        <v>599</v>
      </c>
      <c r="F122" t="s">
        <v>599</v>
      </c>
      <c r="G122" t="s">
        <v>599</v>
      </c>
      <c r="H122" t="s">
        <v>3472</v>
      </c>
      <c r="I122" t="s">
        <v>346</v>
      </c>
      <c r="J122" t="s">
        <v>348</v>
      </c>
      <c r="K122" t="s">
        <v>3906</v>
      </c>
      <c r="L122" t="s">
        <v>1720</v>
      </c>
    </row>
    <row r="123" spans="1:12">
      <c r="A123" t="s">
        <v>349</v>
      </c>
      <c r="B123" t="s">
        <v>599</v>
      </c>
      <c r="C123" t="str">
        <f>VLOOKUP(A123,new!$A$2:$B$192,2,FALSE())</f>
        <v>RM102</v>
      </c>
      <c r="D123" t="s">
        <v>599</v>
      </c>
      <c r="E123" t="s">
        <v>599</v>
      </c>
      <c r="F123" t="s">
        <v>599</v>
      </c>
      <c r="G123" t="s">
        <v>599</v>
      </c>
      <c r="H123" t="s">
        <v>3472</v>
      </c>
      <c r="I123" t="s">
        <v>349</v>
      </c>
      <c r="J123" t="s">
        <v>351</v>
      </c>
      <c r="K123" t="s">
        <v>348</v>
      </c>
      <c r="L123" t="s">
        <v>1721</v>
      </c>
    </row>
    <row r="124" spans="1:12">
      <c r="A124" t="s">
        <v>352</v>
      </c>
      <c r="B124" t="s">
        <v>599</v>
      </c>
      <c r="C124" t="str">
        <f>VLOOKUP(A124,new!$A$2:$B$192,2,FALSE())</f>
        <v>RM103</v>
      </c>
      <c r="D124" t="s">
        <v>599</v>
      </c>
      <c r="E124" t="s">
        <v>599</v>
      </c>
      <c r="F124" t="s">
        <v>599</v>
      </c>
      <c r="G124" t="s">
        <v>599</v>
      </c>
      <c r="H124" t="s">
        <v>3472</v>
      </c>
      <c r="I124" t="s">
        <v>352</v>
      </c>
      <c r="J124" t="s">
        <v>354</v>
      </c>
      <c r="K124" t="s">
        <v>351</v>
      </c>
      <c r="L124" t="s">
        <v>3314</v>
      </c>
    </row>
    <row r="125" spans="1:12">
      <c r="A125" t="s">
        <v>355</v>
      </c>
      <c r="B125" t="s">
        <v>599</v>
      </c>
      <c r="C125" t="str">
        <f>VLOOKUP(A125,new!$A$2:$B$192,2,FALSE())</f>
        <v>RM104</v>
      </c>
      <c r="D125" t="s">
        <v>599</v>
      </c>
      <c r="E125" t="s">
        <v>599</v>
      </c>
      <c r="F125" t="s">
        <v>599</v>
      </c>
      <c r="G125" t="s">
        <v>599</v>
      </c>
      <c r="H125" t="s">
        <v>3472</v>
      </c>
      <c r="I125" t="s">
        <v>355</v>
      </c>
      <c r="J125" t="s">
        <v>357</v>
      </c>
      <c r="K125" t="s">
        <v>354</v>
      </c>
      <c r="L125" t="s">
        <v>3447</v>
      </c>
    </row>
    <row r="126" spans="1:12">
      <c r="A126" t="s">
        <v>358</v>
      </c>
      <c r="B126" t="s">
        <v>599</v>
      </c>
      <c r="C126" t="str">
        <f>VLOOKUP(A126,new!$A$2:$B$192,2,FALSE())</f>
        <v>RM105</v>
      </c>
      <c r="D126" t="s">
        <v>599</v>
      </c>
      <c r="E126" t="s">
        <v>599</v>
      </c>
      <c r="F126" t="s">
        <v>599</v>
      </c>
      <c r="G126" t="s">
        <v>599</v>
      </c>
      <c r="H126" t="s">
        <v>3472</v>
      </c>
      <c r="I126" t="s">
        <v>358</v>
      </c>
      <c r="J126" t="s">
        <v>360</v>
      </c>
      <c r="K126" t="s">
        <v>357</v>
      </c>
      <c r="L126" t="s">
        <v>3449</v>
      </c>
    </row>
    <row r="127" spans="1:12">
      <c r="A127" t="s">
        <v>361</v>
      </c>
      <c r="B127" t="s">
        <v>599</v>
      </c>
      <c r="C127" t="str">
        <f>VLOOKUP(A127,new!$A$2:$B$192,2,FALSE())</f>
        <v>RM106</v>
      </c>
      <c r="D127" t="s">
        <v>599</v>
      </c>
      <c r="E127" t="s">
        <v>599</v>
      </c>
      <c r="F127" t="s">
        <v>599</v>
      </c>
      <c r="G127" t="s">
        <v>599</v>
      </c>
      <c r="H127" t="s">
        <v>3472</v>
      </c>
      <c r="I127" t="s">
        <v>361</v>
      </c>
      <c r="J127" t="s">
        <v>363</v>
      </c>
      <c r="K127" t="s">
        <v>360</v>
      </c>
      <c r="L127" t="s">
        <v>3313</v>
      </c>
    </row>
    <row r="128" spans="1:12">
      <c r="A128" t="s">
        <v>365</v>
      </c>
      <c r="B128" t="s">
        <v>599</v>
      </c>
      <c r="C128" t="str">
        <f>VLOOKUP(A128,new!$A$2:$B$192,2,FALSE())</f>
        <v>RM107</v>
      </c>
      <c r="D128" t="s">
        <v>599</v>
      </c>
      <c r="E128" t="s">
        <v>599</v>
      </c>
      <c r="F128" t="s">
        <v>599</v>
      </c>
      <c r="G128" t="s">
        <v>599</v>
      </c>
      <c r="H128" t="s">
        <v>3472</v>
      </c>
      <c r="I128" t="s">
        <v>365</v>
      </c>
      <c r="J128" t="s">
        <v>367</v>
      </c>
      <c r="K128" t="s">
        <v>364</v>
      </c>
      <c r="L128" t="s">
        <v>3303</v>
      </c>
    </row>
    <row r="129" spans="1:12">
      <c r="A129" t="s">
        <v>368</v>
      </c>
      <c r="B129" t="s">
        <v>600</v>
      </c>
      <c r="C129" t="str">
        <f>VLOOKUP(A129,new!$A$2:$B$192,2,FALSE())</f>
        <v>RM108</v>
      </c>
      <c r="D129" t="s">
        <v>368</v>
      </c>
      <c r="E129" t="s">
        <v>600</v>
      </c>
      <c r="F129" t="s">
        <v>600</v>
      </c>
      <c r="G129" t="s">
        <v>600</v>
      </c>
      <c r="H129" t="s">
        <v>3472</v>
      </c>
      <c r="I129" t="s">
        <v>368</v>
      </c>
      <c r="J129" t="s">
        <v>370</v>
      </c>
      <c r="K129" t="s">
        <v>367</v>
      </c>
      <c r="L129" t="s">
        <v>1723</v>
      </c>
    </row>
    <row r="130" spans="1:12">
      <c r="A130" t="s">
        <v>371</v>
      </c>
      <c r="B130" t="s">
        <v>601</v>
      </c>
      <c r="C130" t="str">
        <f>VLOOKUP(A130,new!$A$2:$B$192,2,FALSE())</f>
        <v>RM109</v>
      </c>
      <c r="D130" t="s">
        <v>371</v>
      </c>
      <c r="E130" t="s">
        <v>601</v>
      </c>
      <c r="F130" t="s">
        <v>601</v>
      </c>
      <c r="G130" t="s">
        <v>601</v>
      </c>
      <c r="H130" t="s">
        <v>3472</v>
      </c>
      <c r="I130" t="s">
        <v>371</v>
      </c>
      <c r="J130" t="s">
        <v>373</v>
      </c>
      <c r="K130" t="s">
        <v>370</v>
      </c>
      <c r="L130" t="s">
        <v>373</v>
      </c>
    </row>
    <row r="131" spans="1:12">
      <c r="A131" t="s">
        <v>374</v>
      </c>
      <c r="B131" t="s">
        <v>602</v>
      </c>
      <c r="C131" t="str">
        <f>VLOOKUP(A131,new!$A$2:$B$192,2,FALSE())</f>
        <v>RM110</v>
      </c>
      <c r="D131" t="s">
        <v>374</v>
      </c>
      <c r="E131" t="s">
        <v>602</v>
      </c>
      <c r="F131" t="s">
        <v>602</v>
      </c>
      <c r="G131" t="s">
        <v>602</v>
      </c>
      <c r="H131" t="s">
        <v>3472</v>
      </c>
      <c r="I131" t="s">
        <v>374</v>
      </c>
      <c r="J131" t="s">
        <v>376</v>
      </c>
      <c r="K131" t="s">
        <v>373</v>
      </c>
      <c r="L131" t="s">
        <v>3304</v>
      </c>
    </row>
    <row r="132" spans="1:12">
      <c r="A132" t="s">
        <v>377</v>
      </c>
      <c r="B132" t="s">
        <v>603</v>
      </c>
      <c r="C132" t="str">
        <f>VLOOKUP(A132,new!$A$2:$B$192,2,FALSE())</f>
        <v>RM111</v>
      </c>
      <c r="D132" t="s">
        <v>377</v>
      </c>
      <c r="E132" t="s">
        <v>603</v>
      </c>
      <c r="F132" t="s">
        <v>603</v>
      </c>
      <c r="G132" t="s">
        <v>603</v>
      </c>
      <c r="H132" t="s">
        <v>3491</v>
      </c>
      <c r="I132" t="s">
        <v>377</v>
      </c>
      <c r="J132" t="s">
        <v>379</v>
      </c>
      <c r="K132" t="s">
        <v>376</v>
      </c>
      <c r="L132" t="s">
        <v>1731</v>
      </c>
    </row>
    <row r="133" spans="1:12">
      <c r="A133" t="s">
        <v>380</v>
      </c>
      <c r="B133" t="s">
        <v>604</v>
      </c>
      <c r="C133" t="str">
        <f>VLOOKUP(A133,new!$A$2:$B$192,2,FALSE())</f>
        <v>RM112</v>
      </c>
      <c r="D133" t="s">
        <v>604</v>
      </c>
      <c r="E133" t="s">
        <v>604</v>
      </c>
      <c r="F133" t="s">
        <v>604</v>
      </c>
      <c r="G133" t="s">
        <v>604</v>
      </c>
      <c r="H133" t="s">
        <v>3491</v>
      </c>
      <c r="I133" t="s">
        <v>380</v>
      </c>
      <c r="J133" t="s">
        <v>382</v>
      </c>
      <c r="K133" t="s">
        <v>379</v>
      </c>
      <c r="L133" t="s">
        <v>3316</v>
      </c>
    </row>
    <row r="134" spans="1:12">
      <c r="A134" t="s">
        <v>383</v>
      </c>
      <c r="B134" t="s">
        <v>604</v>
      </c>
      <c r="C134" t="str">
        <f>VLOOKUP(A134,new!$A$2:$B$192,2,FALSE())</f>
        <v>RM113</v>
      </c>
      <c r="D134" t="s">
        <v>604</v>
      </c>
      <c r="E134" t="s">
        <v>604</v>
      </c>
      <c r="F134" t="s">
        <v>604</v>
      </c>
      <c r="G134" t="s">
        <v>604</v>
      </c>
      <c r="H134" t="s">
        <v>3491</v>
      </c>
      <c r="I134" t="s">
        <v>383</v>
      </c>
      <c r="J134" t="s">
        <v>385</v>
      </c>
      <c r="K134" t="s">
        <v>382</v>
      </c>
      <c r="L134" t="s">
        <v>1733</v>
      </c>
    </row>
    <row r="135" spans="1:12">
      <c r="A135" t="s">
        <v>386</v>
      </c>
      <c r="B135" t="s">
        <v>604</v>
      </c>
      <c r="C135" t="str">
        <f>VLOOKUP(A135,new!$A$2:$B$192,2,FALSE())</f>
        <v>RM114</v>
      </c>
      <c r="D135" t="s">
        <v>604</v>
      </c>
      <c r="E135" t="s">
        <v>604</v>
      </c>
      <c r="F135" t="s">
        <v>604</v>
      </c>
      <c r="G135" t="s">
        <v>604</v>
      </c>
      <c r="H135" t="s">
        <v>3491</v>
      </c>
      <c r="I135" t="s">
        <v>386</v>
      </c>
      <c r="J135" t="s">
        <v>388</v>
      </c>
      <c r="K135" t="s">
        <v>385</v>
      </c>
      <c r="L135" t="s">
        <v>1734</v>
      </c>
    </row>
    <row r="136" spans="1:12">
      <c r="A136" t="s">
        <v>389</v>
      </c>
      <c r="B136" t="s">
        <v>604</v>
      </c>
      <c r="C136" t="str">
        <f>VLOOKUP(A136,new!$A$2:$B$192,2,FALSE())</f>
        <v>RM115</v>
      </c>
      <c r="D136" t="s">
        <v>604</v>
      </c>
      <c r="E136" t="s">
        <v>604</v>
      </c>
      <c r="F136" t="s">
        <v>604</v>
      </c>
      <c r="G136" t="s">
        <v>604</v>
      </c>
      <c r="H136" t="s">
        <v>3491</v>
      </c>
      <c r="I136" t="s">
        <v>389</v>
      </c>
      <c r="J136" t="s">
        <v>391</v>
      </c>
      <c r="K136" t="s">
        <v>388</v>
      </c>
      <c r="L136" t="s">
        <v>3319</v>
      </c>
    </row>
    <row r="137" spans="1:12">
      <c r="A137" t="s">
        <v>392</v>
      </c>
      <c r="B137" t="s">
        <v>605</v>
      </c>
      <c r="C137" t="str">
        <f>VLOOKUP(A137,new!$A$2:$B$192,2,FALSE())</f>
        <v>RM116</v>
      </c>
      <c r="D137" t="s">
        <v>605</v>
      </c>
      <c r="E137" t="s">
        <v>605</v>
      </c>
      <c r="F137" t="s">
        <v>3907</v>
      </c>
      <c r="G137" t="s">
        <v>605</v>
      </c>
      <c r="H137" t="s">
        <v>3485</v>
      </c>
      <c r="I137" t="s">
        <v>392</v>
      </c>
      <c r="J137" t="s">
        <v>394</v>
      </c>
      <c r="K137" t="s">
        <v>391</v>
      </c>
      <c r="L137" t="s">
        <v>394</v>
      </c>
    </row>
    <row r="138" spans="1:12">
      <c r="A138" t="s">
        <v>395</v>
      </c>
      <c r="B138" t="s">
        <v>605</v>
      </c>
      <c r="C138" t="str">
        <f>VLOOKUP(A138,new!$A$2:$B$192,2,FALSE())</f>
        <v>RM117</v>
      </c>
      <c r="D138" t="s">
        <v>605</v>
      </c>
      <c r="E138" t="s">
        <v>605</v>
      </c>
      <c r="F138" t="s">
        <v>3908</v>
      </c>
      <c r="G138" t="s">
        <v>605</v>
      </c>
      <c r="H138" t="s">
        <v>3485</v>
      </c>
      <c r="I138" t="s">
        <v>395</v>
      </c>
      <c r="J138" t="s">
        <v>397</v>
      </c>
      <c r="K138" t="s">
        <v>394</v>
      </c>
      <c r="L138" t="s">
        <v>1737</v>
      </c>
    </row>
    <row r="139" spans="1:12">
      <c r="A139" t="s">
        <v>398</v>
      </c>
      <c r="B139" t="s">
        <v>605</v>
      </c>
      <c r="C139" t="str">
        <f>VLOOKUP(A139,new!$A$2:$B$192,2,FALSE())</f>
        <v>RM118</v>
      </c>
      <c r="D139" t="s">
        <v>605</v>
      </c>
      <c r="E139" t="s">
        <v>605</v>
      </c>
      <c r="F139" t="s">
        <v>3908</v>
      </c>
      <c r="G139" t="s">
        <v>605</v>
      </c>
      <c r="H139" t="s">
        <v>3485</v>
      </c>
      <c r="I139" t="s">
        <v>398</v>
      </c>
      <c r="J139" t="s">
        <v>400</v>
      </c>
      <c r="K139" t="s">
        <v>397</v>
      </c>
      <c r="L139" t="s">
        <v>400</v>
      </c>
    </row>
    <row r="140" spans="1:12">
      <c r="A140" t="s">
        <v>401</v>
      </c>
      <c r="B140" t="s">
        <v>605</v>
      </c>
      <c r="C140" t="str">
        <f>VLOOKUP(A140,new!$A$2:$B$192,2,FALSE())</f>
        <v>RM119</v>
      </c>
      <c r="D140" t="s">
        <v>605</v>
      </c>
      <c r="E140" t="s">
        <v>605</v>
      </c>
      <c r="F140" t="s">
        <v>3908</v>
      </c>
      <c r="G140" t="s">
        <v>605</v>
      </c>
      <c r="H140" t="s">
        <v>3485</v>
      </c>
      <c r="I140" t="s">
        <v>401</v>
      </c>
      <c r="J140" t="s">
        <v>403</v>
      </c>
      <c r="K140" t="s">
        <v>400</v>
      </c>
      <c r="L140" t="s">
        <v>403</v>
      </c>
    </row>
    <row r="141" spans="1:12">
      <c r="A141" t="s">
        <v>404</v>
      </c>
      <c r="B141" t="s">
        <v>605</v>
      </c>
      <c r="C141" t="str">
        <f>VLOOKUP(A141,new!$A$2:$B$192,2,FALSE())</f>
        <v>RM120</v>
      </c>
      <c r="D141" t="s">
        <v>605</v>
      </c>
      <c r="E141" t="s">
        <v>605</v>
      </c>
      <c r="F141" t="s">
        <v>3908</v>
      </c>
      <c r="G141" t="s">
        <v>605</v>
      </c>
      <c r="H141" t="s">
        <v>3485</v>
      </c>
      <c r="I141" t="s">
        <v>404</v>
      </c>
      <c r="J141" t="s">
        <v>406</v>
      </c>
      <c r="K141" t="s">
        <v>403</v>
      </c>
      <c r="L141" t="s">
        <v>1738</v>
      </c>
    </row>
    <row r="142" spans="1:12">
      <c r="A142" t="s">
        <v>407</v>
      </c>
      <c r="B142" t="s">
        <v>605</v>
      </c>
      <c r="C142" t="str">
        <f>VLOOKUP(A142,new!$A$2:$B$192,2,FALSE())</f>
        <v>RM121</v>
      </c>
      <c r="D142" t="s">
        <v>605</v>
      </c>
      <c r="E142" t="s">
        <v>605</v>
      </c>
      <c r="F142" t="s">
        <v>3908</v>
      </c>
      <c r="G142" t="s">
        <v>605</v>
      </c>
      <c r="H142" t="s">
        <v>3485</v>
      </c>
      <c r="I142" t="s">
        <v>407</v>
      </c>
      <c r="J142" t="s">
        <v>409</v>
      </c>
      <c r="K142" t="s">
        <v>406</v>
      </c>
      <c r="L142" t="s">
        <v>1739</v>
      </c>
    </row>
    <row r="143" spans="1:12">
      <c r="A143" t="s">
        <v>410</v>
      </c>
      <c r="B143" t="s">
        <v>605</v>
      </c>
      <c r="C143" t="str">
        <f>VLOOKUP(A143,new!$A$2:$B$192,2,FALSE())</f>
        <v>RM122</v>
      </c>
      <c r="D143" t="s">
        <v>605</v>
      </c>
      <c r="E143" t="s">
        <v>605</v>
      </c>
      <c r="F143" t="s">
        <v>3908</v>
      </c>
      <c r="G143" t="s">
        <v>605</v>
      </c>
      <c r="H143" t="s">
        <v>3485</v>
      </c>
      <c r="I143" t="s">
        <v>410</v>
      </c>
      <c r="J143" t="s">
        <v>412</v>
      </c>
      <c r="K143" t="s">
        <v>409</v>
      </c>
      <c r="L143" t="s">
        <v>3291</v>
      </c>
    </row>
    <row r="144" spans="1:12">
      <c r="A144" t="s">
        <v>413</v>
      </c>
      <c r="B144" t="s">
        <v>606</v>
      </c>
      <c r="C144" t="str">
        <f>VLOOKUP(A144,new!$A$2:$B$192,2,FALSE())</f>
        <v>RM123</v>
      </c>
      <c r="D144" t="s">
        <v>413</v>
      </c>
      <c r="E144" t="s">
        <v>606</v>
      </c>
      <c r="F144" t="s">
        <v>606</v>
      </c>
      <c r="G144" t="s">
        <v>606</v>
      </c>
      <c r="H144" t="s">
        <v>3503</v>
      </c>
      <c r="I144" t="s">
        <v>413</v>
      </c>
      <c r="J144" t="s">
        <v>415</v>
      </c>
      <c r="K144" t="s">
        <v>412</v>
      </c>
      <c r="L144" t="s">
        <v>3188</v>
      </c>
    </row>
    <row r="145" spans="1:12">
      <c r="A145" t="s">
        <v>416</v>
      </c>
      <c r="B145" t="s">
        <v>607</v>
      </c>
      <c r="C145" t="str">
        <f>VLOOKUP(A145,new!$A$2:$B$192,2,FALSE())</f>
        <v>RM124</v>
      </c>
      <c r="D145" t="s">
        <v>607</v>
      </c>
      <c r="E145" t="s">
        <v>3191</v>
      </c>
      <c r="F145" t="s">
        <v>3191</v>
      </c>
      <c r="G145" t="s">
        <v>3191</v>
      </c>
      <c r="H145" t="s">
        <v>416</v>
      </c>
      <c r="I145" t="s">
        <v>416</v>
      </c>
      <c r="J145" t="s">
        <v>418</v>
      </c>
      <c r="K145" t="s">
        <v>415</v>
      </c>
      <c r="L145" t="s">
        <v>3286</v>
      </c>
    </row>
    <row r="146" spans="1:12">
      <c r="A146" t="s">
        <v>419</v>
      </c>
      <c r="B146" t="s">
        <v>607</v>
      </c>
      <c r="C146" t="str">
        <f>VLOOKUP(A146,new!$A$2:$B$192,2,FALSE())</f>
        <v>RM125</v>
      </c>
      <c r="D146" t="s">
        <v>607</v>
      </c>
      <c r="E146" t="s">
        <v>3192</v>
      </c>
      <c r="F146" t="s">
        <v>3192</v>
      </c>
      <c r="G146" t="s">
        <v>3192</v>
      </c>
      <c r="H146" t="s">
        <v>419</v>
      </c>
      <c r="I146" t="s">
        <v>419</v>
      </c>
      <c r="J146" t="s">
        <v>421</v>
      </c>
      <c r="K146" t="s">
        <v>418</v>
      </c>
      <c r="L146" t="s">
        <v>3287</v>
      </c>
    </row>
    <row r="147" spans="1:12">
      <c r="A147" t="s">
        <v>422</v>
      </c>
      <c r="B147" t="s">
        <v>607</v>
      </c>
      <c r="C147" t="str">
        <f>VLOOKUP(A147,new!$A$2:$B$192,2,FALSE())</f>
        <v>RM126</v>
      </c>
      <c r="D147" t="s">
        <v>607</v>
      </c>
      <c r="E147" t="s">
        <v>3191</v>
      </c>
      <c r="F147" t="s">
        <v>3191</v>
      </c>
      <c r="G147" t="s">
        <v>3191</v>
      </c>
      <c r="H147" t="s">
        <v>422</v>
      </c>
      <c r="I147" t="s">
        <v>422</v>
      </c>
      <c r="J147" t="s">
        <v>424</v>
      </c>
      <c r="K147" t="s">
        <v>421</v>
      </c>
      <c r="L147" t="s">
        <v>3772</v>
      </c>
    </row>
    <row r="148" spans="1:12">
      <c r="A148" t="s">
        <v>425</v>
      </c>
      <c r="B148" t="s">
        <v>608</v>
      </c>
      <c r="C148" t="str">
        <f>VLOOKUP(A148,new!$A$2:$B$192,2,FALSE())</f>
        <v>RM127</v>
      </c>
      <c r="D148" t="s">
        <v>425</v>
      </c>
      <c r="E148" t="s">
        <v>608</v>
      </c>
      <c r="F148" t="s">
        <v>608</v>
      </c>
      <c r="G148" t="s">
        <v>608</v>
      </c>
      <c r="H148" t="s">
        <v>3503</v>
      </c>
      <c r="I148" t="s">
        <v>425</v>
      </c>
      <c r="J148" t="s">
        <v>427</v>
      </c>
      <c r="K148" t="s">
        <v>424</v>
      </c>
      <c r="L148" t="s">
        <v>3194</v>
      </c>
    </row>
    <row r="149" spans="1:12">
      <c r="A149" t="s">
        <v>428</v>
      </c>
      <c r="B149" t="s">
        <v>609</v>
      </c>
      <c r="C149" t="str">
        <f>VLOOKUP(A149,new!$A$2:$B$192,2,FALSE())</f>
        <v>RM128</v>
      </c>
      <c r="D149" t="s">
        <v>428</v>
      </c>
      <c r="E149" t="s">
        <v>609</v>
      </c>
      <c r="F149" t="s">
        <v>609</v>
      </c>
      <c r="G149" t="s">
        <v>609</v>
      </c>
      <c r="H149" t="s">
        <v>3503</v>
      </c>
      <c r="I149" t="s">
        <v>428</v>
      </c>
      <c r="J149" t="s">
        <v>430</v>
      </c>
      <c r="K149" t="s">
        <v>427</v>
      </c>
      <c r="L149" t="s">
        <v>3909</v>
      </c>
    </row>
    <row r="150" spans="1:12">
      <c r="A150" t="s">
        <v>431</v>
      </c>
      <c r="B150" t="s">
        <v>610</v>
      </c>
      <c r="C150" t="str">
        <f>VLOOKUP(A150,new!$A$2:$B$192,2,FALSE())</f>
        <v>RM129</v>
      </c>
      <c r="D150" t="s">
        <v>431</v>
      </c>
      <c r="E150" t="s">
        <v>610</v>
      </c>
      <c r="F150" t="s">
        <v>610</v>
      </c>
      <c r="G150" t="s">
        <v>610</v>
      </c>
      <c r="H150" t="s">
        <v>431</v>
      </c>
      <c r="I150" t="s">
        <v>431</v>
      </c>
      <c r="J150" t="s">
        <v>433</v>
      </c>
      <c r="K150" t="s">
        <v>430</v>
      </c>
      <c r="L150" t="s">
        <v>3860</v>
      </c>
    </row>
    <row r="151" spans="1:12">
      <c r="A151" t="s">
        <v>434</v>
      </c>
      <c r="B151" t="s">
        <v>611</v>
      </c>
      <c r="C151" t="str">
        <f>VLOOKUP(A151,new!$A$2:$B$192,2,FALSE())</f>
        <v>RM130</v>
      </c>
      <c r="D151" t="s">
        <v>434</v>
      </c>
      <c r="E151" t="s">
        <v>611</v>
      </c>
      <c r="F151" t="s">
        <v>611</v>
      </c>
      <c r="G151" t="s">
        <v>611</v>
      </c>
      <c r="H151" t="s">
        <v>3503</v>
      </c>
      <c r="I151" t="s">
        <v>434</v>
      </c>
      <c r="J151" t="s">
        <v>3910</v>
      </c>
      <c r="K151" t="s">
        <v>433</v>
      </c>
      <c r="L151" t="s">
        <v>3198</v>
      </c>
    </row>
    <row r="152" spans="1:12">
      <c r="A152" t="s">
        <v>437</v>
      </c>
      <c r="B152" t="s">
        <v>612</v>
      </c>
      <c r="C152" t="str">
        <f>VLOOKUP(A152,new!$A$2:$B$192,2,FALSE())</f>
        <v>RM131</v>
      </c>
      <c r="D152" t="s">
        <v>437</v>
      </c>
      <c r="E152" t="s">
        <v>612</v>
      </c>
      <c r="F152" t="s">
        <v>612</v>
      </c>
      <c r="G152" t="s">
        <v>612</v>
      </c>
      <c r="H152" t="s">
        <v>3503</v>
      </c>
      <c r="I152" t="s">
        <v>437</v>
      </c>
      <c r="J152" t="s">
        <v>3911</v>
      </c>
      <c r="K152" t="s">
        <v>3910</v>
      </c>
      <c r="L152" t="s">
        <v>3199</v>
      </c>
    </row>
    <row r="153" spans="1:12">
      <c r="A153" t="s">
        <v>440</v>
      </c>
      <c r="B153" t="s">
        <v>613</v>
      </c>
      <c r="C153" t="str">
        <f>VLOOKUP(A153,new!$A$2:$B$192,2,FALSE())</f>
        <v>RM132</v>
      </c>
      <c r="D153" t="s">
        <v>440</v>
      </c>
      <c r="E153" t="s">
        <v>613</v>
      </c>
      <c r="F153" t="s">
        <v>613</v>
      </c>
      <c r="G153" t="s">
        <v>613</v>
      </c>
      <c r="H153" t="s">
        <v>3503</v>
      </c>
      <c r="I153" t="s">
        <v>440</v>
      </c>
      <c r="J153" t="s">
        <v>442</v>
      </c>
      <c r="K153" t="s">
        <v>3911</v>
      </c>
      <c r="L153" t="s">
        <v>3200</v>
      </c>
    </row>
    <row r="154" spans="1:12">
      <c r="A154" t="s">
        <v>443</v>
      </c>
      <c r="B154" t="s">
        <v>614</v>
      </c>
      <c r="C154" t="str">
        <f>VLOOKUP(A154,new!$A$2:$B$192,2,FALSE())</f>
        <v>RM133</v>
      </c>
      <c r="D154" t="s">
        <v>443</v>
      </c>
      <c r="E154" t="s">
        <v>614</v>
      </c>
      <c r="F154" t="s">
        <v>614</v>
      </c>
      <c r="G154" t="s">
        <v>614</v>
      </c>
      <c r="H154" t="s">
        <v>443</v>
      </c>
      <c r="I154" t="s">
        <v>443</v>
      </c>
      <c r="J154" t="s">
        <v>445</v>
      </c>
      <c r="K154" t="s">
        <v>442</v>
      </c>
      <c r="L154" t="s">
        <v>3202</v>
      </c>
    </row>
    <row r="155" spans="1:12">
      <c r="A155" t="s">
        <v>446</v>
      </c>
      <c r="B155" t="s">
        <v>615</v>
      </c>
      <c r="C155" t="str">
        <f>VLOOKUP(A155,new!$A$2:$B$192,2,FALSE())</f>
        <v>RM134</v>
      </c>
      <c r="D155" t="s">
        <v>446</v>
      </c>
      <c r="E155" t="s">
        <v>615</v>
      </c>
      <c r="F155" t="s">
        <v>615</v>
      </c>
      <c r="G155" t="s">
        <v>615</v>
      </c>
      <c r="H155" t="s">
        <v>446</v>
      </c>
      <c r="I155" t="s">
        <v>446</v>
      </c>
      <c r="J155" t="s">
        <v>448</v>
      </c>
      <c r="K155" t="s">
        <v>445</v>
      </c>
      <c r="L155" t="s">
        <v>3203</v>
      </c>
    </row>
    <row r="156" spans="1:12">
      <c r="A156" t="s">
        <v>449</v>
      </c>
      <c r="B156" t="s">
        <v>616</v>
      </c>
      <c r="C156" t="str">
        <f>VLOOKUP(A156,new!$A$2:$B$192,2,FALSE())</f>
        <v>RM135</v>
      </c>
      <c r="D156" t="s">
        <v>449</v>
      </c>
      <c r="E156" t="s">
        <v>616</v>
      </c>
      <c r="F156" t="s">
        <v>616</v>
      </c>
      <c r="G156" t="s">
        <v>616</v>
      </c>
      <c r="H156" t="s">
        <v>449</v>
      </c>
      <c r="I156" t="s">
        <v>449</v>
      </c>
      <c r="J156" t="s">
        <v>451</v>
      </c>
      <c r="K156" t="s">
        <v>448</v>
      </c>
      <c r="L156" t="s">
        <v>3204</v>
      </c>
    </row>
    <row r="157" spans="1:12">
      <c r="A157" t="s">
        <v>452</v>
      </c>
      <c r="B157" t="s">
        <v>617</v>
      </c>
      <c r="C157" t="str">
        <f>VLOOKUP(A157,new!$A$2:$B$192,2,FALSE())</f>
        <v>RM136</v>
      </c>
      <c r="D157" t="s">
        <v>452</v>
      </c>
      <c r="E157" t="s">
        <v>617</v>
      </c>
      <c r="F157" t="s">
        <v>617</v>
      </c>
      <c r="G157" t="s">
        <v>617</v>
      </c>
      <c r="H157" t="s">
        <v>3503</v>
      </c>
      <c r="I157" t="s">
        <v>452</v>
      </c>
      <c r="J157" t="s">
        <v>454</v>
      </c>
      <c r="K157" t="s">
        <v>451</v>
      </c>
      <c r="L157" t="s">
        <v>3205</v>
      </c>
    </row>
    <row r="158" spans="1:12">
      <c r="A158" t="s">
        <v>455</v>
      </c>
      <c r="B158" t="s">
        <v>618</v>
      </c>
      <c r="C158" t="str">
        <f>VLOOKUP(A158,new!$A$2:$B$192,2,FALSE())</f>
        <v>RM137</v>
      </c>
      <c r="D158" t="s">
        <v>455</v>
      </c>
      <c r="E158" t="s">
        <v>618</v>
      </c>
      <c r="F158" t="s">
        <v>618</v>
      </c>
      <c r="G158" t="s">
        <v>618</v>
      </c>
      <c r="H158" t="s">
        <v>3503</v>
      </c>
      <c r="I158" t="s">
        <v>455</v>
      </c>
      <c r="J158" t="s">
        <v>457</v>
      </c>
      <c r="K158" t="s">
        <v>454</v>
      </c>
      <c r="L158" t="s">
        <v>3206</v>
      </c>
    </row>
    <row r="159" spans="1:12">
      <c r="A159" t="s">
        <v>458</v>
      </c>
      <c r="B159" t="s">
        <v>619</v>
      </c>
      <c r="C159" t="str">
        <f>VLOOKUP(A159,new!$A$2:$B$192,2,FALSE())</f>
        <v>RM138</v>
      </c>
      <c r="D159" t="s">
        <v>458</v>
      </c>
      <c r="E159" t="s">
        <v>619</v>
      </c>
      <c r="F159" t="s">
        <v>619</v>
      </c>
      <c r="G159" t="s">
        <v>619</v>
      </c>
      <c r="H159" t="s">
        <v>3503</v>
      </c>
      <c r="I159" t="s">
        <v>458</v>
      </c>
      <c r="J159" t="s">
        <v>460</v>
      </c>
      <c r="K159" t="s">
        <v>457</v>
      </c>
      <c r="L159" t="s">
        <v>3912</v>
      </c>
    </row>
    <row r="160" spans="1:12">
      <c r="A160" t="s">
        <v>461</v>
      </c>
      <c r="B160" t="s">
        <v>620</v>
      </c>
      <c r="C160" t="str">
        <f>VLOOKUP(A160,new!$A$2:$B$192,2,FALSE())</f>
        <v>RM139</v>
      </c>
      <c r="D160" t="s">
        <v>461</v>
      </c>
      <c r="E160" t="s">
        <v>620</v>
      </c>
      <c r="F160" t="s">
        <v>620</v>
      </c>
      <c r="G160" t="s">
        <v>620</v>
      </c>
      <c r="H160" t="s">
        <v>3503</v>
      </c>
      <c r="I160" t="s">
        <v>461</v>
      </c>
      <c r="J160" t="s">
        <v>463</v>
      </c>
      <c r="K160" t="s">
        <v>460</v>
      </c>
      <c r="L160" t="s">
        <v>3209</v>
      </c>
    </row>
    <row r="161" spans="1:12">
      <c r="A161" t="s">
        <v>464</v>
      </c>
      <c r="B161" t="s">
        <v>621</v>
      </c>
      <c r="C161" t="str">
        <f>VLOOKUP(A161,new!$A$2:$B$192,2,FALSE())</f>
        <v>RM140</v>
      </c>
      <c r="D161" t="s">
        <v>464</v>
      </c>
      <c r="E161" t="s">
        <v>621</v>
      </c>
      <c r="F161" t="s">
        <v>621</v>
      </c>
      <c r="G161" t="s">
        <v>621</v>
      </c>
      <c r="H161" t="s">
        <v>3503</v>
      </c>
      <c r="I161" t="s">
        <v>464</v>
      </c>
      <c r="J161" t="s">
        <v>466</v>
      </c>
      <c r="K161" t="s">
        <v>463</v>
      </c>
      <c r="L161" t="s">
        <v>3210</v>
      </c>
    </row>
    <row r="162" spans="1:12">
      <c r="A162" t="s">
        <v>467</v>
      </c>
      <c r="B162" t="s">
        <v>622</v>
      </c>
      <c r="C162" t="str">
        <f>VLOOKUP(A162,new!$A$2:$B$192,2,FALSE())</f>
        <v>RM141</v>
      </c>
      <c r="D162" t="s">
        <v>467</v>
      </c>
      <c r="E162" t="s">
        <v>622</v>
      </c>
      <c r="F162" t="s">
        <v>622</v>
      </c>
      <c r="G162" t="s">
        <v>622</v>
      </c>
      <c r="H162" t="s">
        <v>3503</v>
      </c>
      <c r="I162" t="s">
        <v>467</v>
      </c>
      <c r="J162" t="s">
        <v>469</v>
      </c>
      <c r="K162" t="s">
        <v>466</v>
      </c>
      <c r="L162" t="s">
        <v>3211</v>
      </c>
    </row>
    <row r="163" spans="1:12">
      <c r="A163" t="s">
        <v>470</v>
      </c>
      <c r="B163" t="s">
        <v>623</v>
      </c>
      <c r="C163" t="str">
        <f>VLOOKUP(A163,new!$A$2:$B$192,2,FALSE())</f>
        <v>RM142</v>
      </c>
      <c r="D163" t="s">
        <v>470</v>
      </c>
      <c r="E163" t="s">
        <v>623</v>
      </c>
      <c r="F163" t="s">
        <v>623</v>
      </c>
      <c r="G163" t="s">
        <v>623</v>
      </c>
      <c r="H163" t="s">
        <v>3503</v>
      </c>
      <c r="I163" t="s">
        <v>470</v>
      </c>
      <c r="J163" t="s">
        <v>472</v>
      </c>
      <c r="K163" t="s">
        <v>469</v>
      </c>
      <c r="L163" t="s">
        <v>3315</v>
      </c>
    </row>
    <row r="164" spans="1:12">
      <c r="A164" t="s">
        <v>473</v>
      </c>
      <c r="B164" t="s">
        <v>624</v>
      </c>
      <c r="C164" t="str">
        <f>VLOOKUP(A164,new!$A$2:$B$192,2,FALSE())</f>
        <v>RM143</v>
      </c>
      <c r="D164" t="s">
        <v>473</v>
      </c>
      <c r="E164" t="s">
        <v>624</v>
      </c>
      <c r="F164" t="s">
        <v>624</v>
      </c>
      <c r="G164" t="s">
        <v>624</v>
      </c>
      <c r="H164" t="s">
        <v>3503</v>
      </c>
      <c r="I164" t="s">
        <v>473</v>
      </c>
      <c r="J164" t="s">
        <v>475</v>
      </c>
      <c r="K164" t="s">
        <v>472</v>
      </c>
      <c r="L164" t="s">
        <v>3214</v>
      </c>
    </row>
    <row r="165" spans="1:12">
      <c r="A165" t="s">
        <v>476</v>
      </c>
      <c r="B165" t="s">
        <v>625</v>
      </c>
      <c r="C165" t="str">
        <f>VLOOKUP(A165,new!$A$2:$B$192,2,FALSE())</f>
        <v>RM144</v>
      </c>
      <c r="D165" t="s">
        <v>476</v>
      </c>
      <c r="E165" t="s">
        <v>625</v>
      </c>
      <c r="F165" t="s">
        <v>625</v>
      </c>
      <c r="G165" t="s">
        <v>625</v>
      </c>
      <c r="H165" t="s">
        <v>3503</v>
      </c>
      <c r="I165" t="s">
        <v>476</v>
      </c>
      <c r="J165" t="s">
        <v>478</v>
      </c>
      <c r="K165" t="s">
        <v>475</v>
      </c>
      <c r="L165" t="s">
        <v>3215</v>
      </c>
    </row>
    <row r="166" spans="1:12">
      <c r="A166" t="s">
        <v>479</v>
      </c>
      <c r="B166" t="s">
        <v>626</v>
      </c>
      <c r="C166" t="str">
        <f>VLOOKUP(A166,new!$A$2:$B$192,2,FALSE())</f>
        <v>RM145</v>
      </c>
      <c r="D166" t="s">
        <v>479</v>
      </c>
      <c r="E166" t="s">
        <v>626</v>
      </c>
      <c r="F166" t="s">
        <v>626</v>
      </c>
      <c r="G166" t="s">
        <v>626</v>
      </c>
      <c r="H166" t="s">
        <v>3503</v>
      </c>
      <c r="I166" t="s">
        <v>479</v>
      </c>
      <c r="J166" t="s">
        <v>481</v>
      </c>
      <c r="K166" t="s">
        <v>478</v>
      </c>
      <c r="L166" t="s">
        <v>3216</v>
      </c>
    </row>
    <row r="167" spans="1:12">
      <c r="A167" t="s">
        <v>482</v>
      </c>
      <c r="B167" t="s">
        <v>627</v>
      </c>
      <c r="C167" t="str">
        <f>VLOOKUP(A167,new!$A$2:$B$192,2,FALSE())</f>
        <v>RM146</v>
      </c>
      <c r="D167" t="s">
        <v>482</v>
      </c>
      <c r="E167" t="s">
        <v>627</v>
      </c>
      <c r="F167" t="s">
        <v>627</v>
      </c>
      <c r="G167" t="s">
        <v>627</v>
      </c>
      <c r="H167" t="s">
        <v>3503</v>
      </c>
      <c r="I167" t="s">
        <v>482</v>
      </c>
      <c r="J167" t="s">
        <v>484</v>
      </c>
      <c r="K167" t="s">
        <v>481</v>
      </c>
      <c r="L167" t="s">
        <v>3913</v>
      </c>
    </row>
    <row r="168" spans="1:12">
      <c r="A168" t="s">
        <v>485</v>
      </c>
      <c r="B168" t="s">
        <v>628</v>
      </c>
      <c r="C168" t="str">
        <f>VLOOKUP(A168,new!$A$2:$B$192,2,FALSE())</f>
        <v>RM147</v>
      </c>
      <c r="D168" t="s">
        <v>485</v>
      </c>
      <c r="E168" t="s">
        <v>628</v>
      </c>
      <c r="F168" t="s">
        <v>628</v>
      </c>
      <c r="G168" t="s">
        <v>628</v>
      </c>
      <c r="H168" t="s">
        <v>3503</v>
      </c>
      <c r="I168" t="s">
        <v>485</v>
      </c>
      <c r="J168" t="s">
        <v>487</v>
      </c>
      <c r="K168" t="s">
        <v>484</v>
      </c>
      <c r="L168" t="s">
        <v>3914</v>
      </c>
    </row>
    <row r="169" spans="1:12">
      <c r="A169" t="s">
        <v>488</v>
      </c>
      <c r="B169" t="s">
        <v>629</v>
      </c>
      <c r="C169" t="str">
        <f>VLOOKUP(A169,new!$A$2:$B$192,2,FALSE())</f>
        <v>RM148</v>
      </c>
      <c r="D169" t="s">
        <v>488</v>
      </c>
      <c r="E169" t="s">
        <v>629</v>
      </c>
      <c r="F169" t="s">
        <v>629</v>
      </c>
      <c r="G169" t="s">
        <v>629</v>
      </c>
      <c r="H169" t="s">
        <v>3503</v>
      </c>
      <c r="I169" t="s">
        <v>488</v>
      </c>
      <c r="J169" t="s">
        <v>490</v>
      </c>
      <c r="K169" t="s">
        <v>487</v>
      </c>
      <c r="L169" t="s">
        <v>3220</v>
      </c>
    </row>
    <row r="170" spans="1:12">
      <c r="A170" t="s">
        <v>491</v>
      </c>
      <c r="B170" t="s">
        <v>630</v>
      </c>
      <c r="C170" t="str">
        <f>VLOOKUP(A170,new!$A$2:$B$192,2,FALSE())</f>
        <v>RM149</v>
      </c>
      <c r="D170" t="s">
        <v>491</v>
      </c>
      <c r="E170" t="s">
        <v>630</v>
      </c>
      <c r="F170" t="s">
        <v>630</v>
      </c>
      <c r="G170" t="s">
        <v>630</v>
      </c>
      <c r="H170" t="s">
        <v>3503</v>
      </c>
      <c r="I170" t="s">
        <v>491</v>
      </c>
      <c r="J170" t="s">
        <v>493</v>
      </c>
      <c r="K170" t="s">
        <v>490</v>
      </c>
      <c r="L170" t="s">
        <v>3150</v>
      </c>
    </row>
    <row r="171" spans="1:12">
      <c r="A171" t="s">
        <v>494</v>
      </c>
      <c r="B171" t="s">
        <v>631</v>
      </c>
      <c r="C171" t="str">
        <f>VLOOKUP(A171,new!$A$2:$B$192,2,FALSE())</f>
        <v>RM150</v>
      </c>
      <c r="D171" t="s">
        <v>494</v>
      </c>
      <c r="E171" t="s">
        <v>631</v>
      </c>
      <c r="F171" t="s">
        <v>631</v>
      </c>
      <c r="G171" t="s">
        <v>631</v>
      </c>
      <c r="H171" t="s">
        <v>3503</v>
      </c>
      <c r="I171" t="s">
        <v>494</v>
      </c>
      <c r="J171" t="s">
        <v>496</v>
      </c>
      <c r="K171" t="s">
        <v>493</v>
      </c>
      <c r="L171" t="s">
        <v>3221</v>
      </c>
    </row>
    <row r="172" spans="1:12">
      <c r="A172" t="s">
        <v>497</v>
      </c>
      <c r="B172" t="s">
        <v>632</v>
      </c>
      <c r="C172" t="str">
        <f>VLOOKUP(A172,new!$A$2:$B$192,2,FALSE())</f>
        <v>RM151</v>
      </c>
      <c r="D172" t="s">
        <v>497</v>
      </c>
      <c r="E172" t="s">
        <v>632</v>
      </c>
      <c r="F172" t="s">
        <v>632</v>
      </c>
      <c r="G172" t="s">
        <v>632</v>
      </c>
      <c r="H172" t="s">
        <v>3503</v>
      </c>
      <c r="I172" t="s">
        <v>497</v>
      </c>
      <c r="J172" t="s">
        <v>499</v>
      </c>
      <c r="K172" t="s">
        <v>496</v>
      </c>
      <c r="L172" t="s">
        <v>3292</v>
      </c>
    </row>
    <row r="173" spans="1:12">
      <c r="A173" t="s">
        <v>500</v>
      </c>
      <c r="B173" t="s">
        <v>633</v>
      </c>
      <c r="C173" t="str">
        <f>VLOOKUP(A173,new!$A$2:$B$192,2,FALSE())</f>
        <v>RM152</v>
      </c>
      <c r="D173" t="s">
        <v>500</v>
      </c>
      <c r="E173" t="s">
        <v>633</v>
      </c>
      <c r="F173" t="s">
        <v>633</v>
      </c>
      <c r="G173" t="s">
        <v>633</v>
      </c>
      <c r="H173" t="s">
        <v>3503</v>
      </c>
      <c r="I173" t="s">
        <v>500</v>
      </c>
      <c r="J173" t="s">
        <v>502</v>
      </c>
      <c r="K173" t="s">
        <v>499</v>
      </c>
      <c r="L173" t="s">
        <v>3224</v>
      </c>
    </row>
    <row r="174" spans="1:12">
      <c r="A174" t="s">
        <v>503</v>
      </c>
      <c r="B174" t="s">
        <v>634</v>
      </c>
      <c r="C174" t="str">
        <f>VLOOKUP(A174,new!$A$2:$B$192,2,FALSE())</f>
        <v>RM153</v>
      </c>
      <c r="D174" t="s">
        <v>503</v>
      </c>
      <c r="E174" t="s">
        <v>634</v>
      </c>
      <c r="F174" t="s">
        <v>634</v>
      </c>
      <c r="G174" t="s">
        <v>634</v>
      </c>
      <c r="H174" t="s">
        <v>3503</v>
      </c>
      <c r="I174" t="s">
        <v>503</v>
      </c>
      <c r="J174" t="s">
        <v>505</v>
      </c>
      <c r="K174" t="s">
        <v>502</v>
      </c>
      <c r="L174" t="s">
        <v>505</v>
      </c>
    </row>
    <row r="175" spans="1:12">
      <c r="A175" t="s">
        <v>506</v>
      </c>
      <c r="B175" t="s">
        <v>635</v>
      </c>
      <c r="C175" t="str">
        <f>VLOOKUP(A175,new!$A$2:$B$192,2,FALSE())</f>
        <v>RM154</v>
      </c>
      <c r="D175" t="s">
        <v>506</v>
      </c>
      <c r="E175" t="s">
        <v>635</v>
      </c>
      <c r="F175" t="s">
        <v>635</v>
      </c>
      <c r="G175" t="s">
        <v>635</v>
      </c>
      <c r="H175" t="s">
        <v>3503</v>
      </c>
      <c r="I175" t="s">
        <v>506</v>
      </c>
      <c r="J175" t="s">
        <v>508</v>
      </c>
      <c r="K175" t="s">
        <v>505</v>
      </c>
      <c r="L175" t="s">
        <v>3225</v>
      </c>
    </row>
    <row r="176" spans="1:12">
      <c r="A176" t="s">
        <v>509</v>
      </c>
      <c r="B176" t="s">
        <v>636</v>
      </c>
      <c r="C176" t="str">
        <f>VLOOKUP(A176,new!$A$2:$B$192,2,FALSE())</f>
        <v>RM155</v>
      </c>
      <c r="D176" t="s">
        <v>509</v>
      </c>
      <c r="E176" t="s">
        <v>636</v>
      </c>
      <c r="F176" t="s">
        <v>636</v>
      </c>
      <c r="G176" t="s">
        <v>636</v>
      </c>
      <c r="H176" t="s">
        <v>3503</v>
      </c>
      <c r="I176" t="s">
        <v>509</v>
      </c>
      <c r="J176" t="s">
        <v>511</v>
      </c>
      <c r="K176" t="s">
        <v>508</v>
      </c>
      <c r="L176" t="s">
        <v>3226</v>
      </c>
    </row>
    <row r="177" spans="1:12">
      <c r="A177" t="s">
        <v>512</v>
      </c>
      <c r="B177" t="s">
        <v>637</v>
      </c>
      <c r="C177" t="str">
        <f>VLOOKUP(A177,new!$A$2:$B$192,2,FALSE())</f>
        <v>RM156</v>
      </c>
      <c r="D177" t="s">
        <v>512</v>
      </c>
      <c r="E177" t="s">
        <v>637</v>
      </c>
      <c r="F177" t="s">
        <v>637</v>
      </c>
      <c r="G177" t="s">
        <v>637</v>
      </c>
      <c r="H177" t="s">
        <v>512</v>
      </c>
      <c r="I177" t="s">
        <v>512</v>
      </c>
      <c r="J177" t="s">
        <v>514</v>
      </c>
      <c r="K177" t="s">
        <v>511</v>
      </c>
      <c r="L177" t="s">
        <v>3227</v>
      </c>
    </row>
    <row r="178" spans="1:12">
      <c r="A178" t="s">
        <v>516</v>
      </c>
      <c r="B178" t="s">
        <v>638</v>
      </c>
      <c r="C178" t="str">
        <f>VLOOKUP(A178,new!$A$2:$B$192,2,FALSE())</f>
        <v>RM157</v>
      </c>
      <c r="D178" t="s">
        <v>516</v>
      </c>
      <c r="E178" t="s">
        <v>638</v>
      </c>
      <c r="F178" t="s">
        <v>638</v>
      </c>
      <c r="G178" t="s">
        <v>638</v>
      </c>
      <c r="H178" t="s">
        <v>3503</v>
      </c>
      <c r="I178" t="s">
        <v>516</v>
      </c>
      <c r="J178" t="s">
        <v>518</v>
      </c>
      <c r="K178" t="s">
        <v>515</v>
      </c>
      <c r="L178" t="s">
        <v>3228</v>
      </c>
    </row>
    <row r="179" spans="1:12">
      <c r="A179" t="s">
        <v>519</v>
      </c>
      <c r="B179" t="s">
        <v>639</v>
      </c>
      <c r="C179" t="str">
        <f>VLOOKUP(A179,new!$A$2:$B$192,2,FALSE())</f>
        <v>RM158</v>
      </c>
      <c r="D179" t="s">
        <v>519</v>
      </c>
      <c r="E179" t="s">
        <v>639</v>
      </c>
      <c r="F179" t="s">
        <v>639</v>
      </c>
      <c r="G179" t="s">
        <v>639</v>
      </c>
      <c r="H179" t="s">
        <v>3503</v>
      </c>
      <c r="I179" t="s">
        <v>519</v>
      </c>
      <c r="J179" t="s">
        <v>521</v>
      </c>
      <c r="K179" t="s">
        <v>518</v>
      </c>
      <c r="L179" t="s">
        <v>3230</v>
      </c>
    </row>
    <row r="180" spans="1:12">
      <c r="A180" t="s">
        <v>522</v>
      </c>
      <c r="B180" t="s">
        <v>640</v>
      </c>
      <c r="C180" t="str">
        <f>VLOOKUP(A180,new!$A$2:$B$192,2,FALSE())</f>
        <v>RM159</v>
      </c>
      <c r="D180" t="s">
        <v>522</v>
      </c>
      <c r="E180" t="s">
        <v>640</v>
      </c>
      <c r="F180" t="s">
        <v>640</v>
      </c>
      <c r="G180" t="s">
        <v>640</v>
      </c>
      <c r="H180" t="s">
        <v>3503</v>
      </c>
      <c r="I180" t="s">
        <v>522</v>
      </c>
      <c r="J180" t="s">
        <v>524</v>
      </c>
      <c r="K180" t="s">
        <v>521</v>
      </c>
      <c r="L180" t="s">
        <v>3915</v>
      </c>
    </row>
    <row r="181" spans="1:12">
      <c r="A181" t="s">
        <v>525</v>
      </c>
      <c r="B181" t="s">
        <v>641</v>
      </c>
      <c r="C181" t="str">
        <f>VLOOKUP(A181,new!$A$2:$B$192,2,FALSE())</f>
        <v>RM160</v>
      </c>
      <c r="D181" t="s">
        <v>525</v>
      </c>
      <c r="E181" t="s">
        <v>641</v>
      </c>
      <c r="F181" t="s">
        <v>641</v>
      </c>
      <c r="G181" t="s">
        <v>641</v>
      </c>
      <c r="H181" t="s">
        <v>3503</v>
      </c>
      <c r="I181" t="s">
        <v>525</v>
      </c>
      <c r="J181" t="s">
        <v>527</v>
      </c>
      <c r="K181" t="s">
        <v>524</v>
      </c>
      <c r="L181" t="s">
        <v>3317</v>
      </c>
    </row>
    <row r="182" spans="1:12">
      <c r="A182" t="s">
        <v>528</v>
      </c>
      <c r="B182" t="s">
        <v>642</v>
      </c>
      <c r="C182" t="str">
        <f>VLOOKUP(A182,new!$A$2:$B$192,2,FALSE())</f>
        <v>RM161</v>
      </c>
      <c r="D182" t="s">
        <v>528</v>
      </c>
      <c r="E182" t="s">
        <v>642</v>
      </c>
      <c r="F182" t="s">
        <v>642</v>
      </c>
      <c r="G182" t="s">
        <v>642</v>
      </c>
      <c r="H182" t="s">
        <v>3503</v>
      </c>
      <c r="I182" t="s">
        <v>528</v>
      </c>
      <c r="J182" t="s">
        <v>530</v>
      </c>
      <c r="K182" t="s">
        <v>527</v>
      </c>
      <c r="L182" t="s">
        <v>3234</v>
      </c>
    </row>
    <row r="183" spans="1:12">
      <c r="A183" t="s">
        <v>531</v>
      </c>
      <c r="B183" t="s">
        <v>643</v>
      </c>
      <c r="C183" t="str">
        <f>VLOOKUP(A183,new!$A$2:$B$192,2,FALSE())</f>
        <v>RM162</v>
      </c>
      <c r="D183" t="s">
        <v>531</v>
      </c>
      <c r="E183" t="s">
        <v>643</v>
      </c>
      <c r="F183" t="s">
        <v>643</v>
      </c>
      <c r="G183" t="s">
        <v>643</v>
      </c>
      <c r="H183" t="s">
        <v>3503</v>
      </c>
      <c r="I183" t="s">
        <v>531</v>
      </c>
      <c r="J183" t="s">
        <v>533</v>
      </c>
      <c r="K183" t="s">
        <v>530</v>
      </c>
      <c r="L183" t="s">
        <v>3236</v>
      </c>
    </row>
    <row r="184" spans="1:12">
      <c r="A184" t="s">
        <v>534</v>
      </c>
      <c r="B184" t="s">
        <v>644</v>
      </c>
      <c r="C184" t="str">
        <f>VLOOKUP(A184,new!$A$2:$B$192,2,FALSE())</f>
        <v>RM163</v>
      </c>
      <c r="D184" t="s">
        <v>534</v>
      </c>
      <c r="E184" t="s">
        <v>644</v>
      </c>
      <c r="F184" t="s">
        <v>644</v>
      </c>
      <c r="G184" t="s">
        <v>644</v>
      </c>
      <c r="H184" t="s">
        <v>3503</v>
      </c>
      <c r="I184" t="s">
        <v>534</v>
      </c>
      <c r="J184" t="s">
        <v>536</v>
      </c>
      <c r="K184" t="s">
        <v>533</v>
      </c>
      <c r="L184" t="s">
        <v>3237</v>
      </c>
    </row>
    <row r="185" spans="1:12">
      <c r="A185" t="s">
        <v>537</v>
      </c>
      <c r="B185" t="s">
        <v>3238</v>
      </c>
      <c r="C185" t="str">
        <f>VLOOKUP(A185,new!$A$2:$B$192,2,FALSE())</f>
        <v>RM164_166</v>
      </c>
      <c r="D185" t="s">
        <v>537</v>
      </c>
      <c r="E185" t="s">
        <v>3238</v>
      </c>
      <c r="F185" t="s">
        <v>3238</v>
      </c>
      <c r="G185" t="s">
        <v>3238</v>
      </c>
      <c r="H185" t="s">
        <v>3503</v>
      </c>
      <c r="I185" t="s">
        <v>537</v>
      </c>
      <c r="J185" t="s">
        <v>539</v>
      </c>
      <c r="K185" t="s">
        <v>536</v>
      </c>
      <c r="L185" t="s">
        <v>3151</v>
      </c>
    </row>
    <row r="186" spans="1:12">
      <c r="A186" t="s">
        <v>540</v>
      </c>
      <c r="B186" t="s">
        <v>647</v>
      </c>
      <c r="C186" t="str">
        <f>VLOOKUP(A186,new!$A$2:$B$192,2,FALSE())</f>
        <v>RM165</v>
      </c>
      <c r="D186" t="s">
        <v>540</v>
      </c>
      <c r="E186" t="s">
        <v>647</v>
      </c>
      <c r="F186" t="s">
        <v>647</v>
      </c>
      <c r="G186" t="s">
        <v>647</v>
      </c>
      <c r="H186" t="s">
        <v>3503</v>
      </c>
      <c r="I186" t="s">
        <v>540</v>
      </c>
      <c r="J186" t="s">
        <v>542</v>
      </c>
      <c r="K186" t="s">
        <v>539</v>
      </c>
      <c r="L186" t="s">
        <v>3916</v>
      </c>
    </row>
    <row r="187" spans="1:12">
      <c r="A187" t="s">
        <v>3917</v>
      </c>
      <c r="B187" t="s">
        <v>647</v>
      </c>
      <c r="C187" t="s">
        <v>645</v>
      </c>
      <c r="D187" t="s">
        <v>540</v>
      </c>
      <c r="E187" t="s">
        <v>647</v>
      </c>
      <c r="F187" t="s">
        <v>647</v>
      </c>
      <c r="G187" t="s">
        <v>647</v>
      </c>
      <c r="H187" t="s">
        <v>3503</v>
      </c>
      <c r="I187" t="s">
        <v>540</v>
      </c>
      <c r="J187" t="s">
        <v>539</v>
      </c>
      <c r="K187" t="s">
        <v>542</v>
      </c>
      <c r="L187" t="s">
        <v>3916</v>
      </c>
    </row>
    <row r="188" spans="1:12">
      <c r="A188" t="s">
        <v>3918</v>
      </c>
      <c r="B188" t="s">
        <v>647</v>
      </c>
      <c r="C188" t="s">
        <v>648</v>
      </c>
      <c r="D188" t="s">
        <v>540</v>
      </c>
      <c r="E188" t="s">
        <v>647</v>
      </c>
      <c r="F188" t="s">
        <v>647</v>
      </c>
      <c r="G188" t="s">
        <v>647</v>
      </c>
      <c r="H188" t="s">
        <v>3503</v>
      </c>
      <c r="I188" t="s">
        <v>540</v>
      </c>
      <c r="J188" t="s">
        <v>539</v>
      </c>
      <c r="K188" t="s">
        <v>539</v>
      </c>
      <c r="L188" t="s">
        <v>3916</v>
      </c>
    </row>
    <row r="189" spans="1:12">
      <c r="A189" t="s">
        <v>651</v>
      </c>
      <c r="B189" t="s">
        <v>651</v>
      </c>
      <c r="C189" t="s">
        <v>651</v>
      </c>
      <c r="D189" t="s">
        <v>651</v>
      </c>
      <c r="E189" t="s">
        <v>651</v>
      </c>
      <c r="F189" t="s">
        <v>651</v>
      </c>
      <c r="G189" t="s">
        <v>651</v>
      </c>
      <c r="H189" t="s">
        <v>651</v>
      </c>
      <c r="J189" t="s">
        <v>3919</v>
      </c>
      <c r="K189" t="s">
        <v>650</v>
      </c>
    </row>
    <row r="190" spans="1:12">
      <c r="A190" t="s">
        <v>543</v>
      </c>
      <c r="B190" t="s">
        <v>543</v>
      </c>
      <c r="C190" t="str">
        <f>VLOOKUP(A190,new!$A$2:$B$192,2,FALSE())</f>
        <v>HFCE</v>
      </c>
      <c r="D190" t="s">
        <v>543</v>
      </c>
      <c r="E190" t="s">
        <v>543</v>
      </c>
      <c r="F190" t="s">
        <v>543</v>
      </c>
      <c r="G190" t="s">
        <v>543</v>
      </c>
      <c r="H190" t="s">
        <v>543</v>
      </c>
      <c r="J190" t="s">
        <v>544</v>
      </c>
      <c r="K190" t="s">
        <v>3919</v>
      </c>
    </row>
    <row r="191" spans="1:12">
      <c r="A191" t="s">
        <v>545</v>
      </c>
      <c r="B191" t="s">
        <v>545</v>
      </c>
      <c r="C191" t="str">
        <f>VLOOKUP(A191,new!$A$2:$B$192,2,FALSE())</f>
        <v>NFCE</v>
      </c>
      <c r="D191" t="s">
        <v>545</v>
      </c>
      <c r="E191" t="s">
        <v>545</v>
      </c>
      <c r="F191" t="s">
        <v>545</v>
      </c>
      <c r="G191" t="s">
        <v>545</v>
      </c>
      <c r="H191" t="s">
        <v>545</v>
      </c>
      <c r="J191" t="s">
        <v>546</v>
      </c>
    </row>
    <row r="192" spans="1:12">
      <c r="A192" t="s">
        <v>547</v>
      </c>
      <c r="B192" t="s">
        <v>547</v>
      </c>
      <c r="C192" t="str">
        <f>VLOOKUP(A192,new!$A$2:$B$192,2,FALSE())</f>
        <v>GFCE</v>
      </c>
      <c r="D192" t="s">
        <v>547</v>
      </c>
      <c r="E192" t="s">
        <v>547</v>
      </c>
      <c r="F192" t="s">
        <v>547</v>
      </c>
      <c r="G192" t="s">
        <v>547</v>
      </c>
      <c r="H192" t="s">
        <v>547</v>
      </c>
      <c r="J192" t="s">
        <v>548</v>
      </c>
    </row>
    <row r="193" spans="1:10">
      <c r="A193" t="s">
        <v>549</v>
      </c>
      <c r="B193" t="s">
        <v>549</v>
      </c>
      <c r="C193" t="str">
        <f>VLOOKUP(A193,new!$A$2:$B$192,2,FALSE())</f>
        <v>INV</v>
      </c>
      <c r="D193" t="s">
        <v>549</v>
      </c>
      <c r="E193" t="s">
        <v>549</v>
      </c>
      <c r="F193" t="s">
        <v>549</v>
      </c>
      <c r="G193" t="s">
        <v>549</v>
      </c>
      <c r="H193" t="s">
        <v>549</v>
      </c>
      <c r="J193" t="s">
        <v>550</v>
      </c>
    </row>
    <row r="194" spans="1:10">
      <c r="A194" t="s">
        <v>551</v>
      </c>
      <c r="B194" t="s">
        <v>551</v>
      </c>
      <c r="C194" t="str">
        <f>VLOOKUP(A194,new!$A$2:$B$192,2,FALSE())</f>
        <v>CINV</v>
      </c>
      <c r="D194" t="s">
        <v>551</v>
      </c>
      <c r="E194" t="s">
        <v>551</v>
      </c>
      <c r="F194" t="s">
        <v>551</v>
      </c>
      <c r="G194" t="s">
        <v>551</v>
      </c>
      <c r="H194" t="s">
        <v>551</v>
      </c>
      <c r="J194" t="s">
        <v>552</v>
      </c>
    </row>
    <row r="195" spans="1:10">
      <c r="A195" t="s">
        <v>553</v>
      </c>
      <c r="B195" t="s">
        <v>553</v>
      </c>
      <c r="C195" t="str">
        <f>VLOOKUP(A195,new!$A$2:$B$192,2,FALSE())</f>
        <v>OUT</v>
      </c>
      <c r="D195" t="s">
        <v>553</v>
      </c>
      <c r="E195" t="s">
        <v>553</v>
      </c>
      <c r="F195" t="s">
        <v>553</v>
      </c>
      <c r="G195" t="s">
        <v>553</v>
      </c>
      <c r="H195" t="s">
        <v>553</v>
      </c>
      <c r="J195" t="s">
        <v>554</v>
      </c>
    </row>
    <row r="196" spans="1:10">
      <c r="A196" t="s">
        <v>555</v>
      </c>
      <c r="B196" t="s">
        <v>555</v>
      </c>
      <c r="C196" t="str">
        <f>VLOOKUP(A196,new!$A$2:$B$192,2,FALSE())</f>
        <v>EXP</v>
      </c>
      <c r="D196" t="s">
        <v>555</v>
      </c>
      <c r="E196" t="s">
        <v>555</v>
      </c>
      <c r="F196" t="s">
        <v>555</v>
      </c>
      <c r="G196" t="s">
        <v>555</v>
      </c>
      <c r="H196" t="s">
        <v>555</v>
      </c>
      <c r="J196" t="s">
        <v>556</v>
      </c>
    </row>
    <row r="197" spans="1:10">
      <c r="A197" t="s">
        <v>3920</v>
      </c>
      <c r="B197" t="s">
        <v>3920</v>
      </c>
      <c r="D197" t="s">
        <v>3920</v>
      </c>
      <c r="E197" t="s">
        <v>3920</v>
      </c>
      <c r="F197" t="s">
        <v>3920</v>
      </c>
      <c r="G197" t="s">
        <v>3920</v>
      </c>
      <c r="H197" t="s">
        <v>3920</v>
      </c>
      <c r="J197" t="s">
        <v>3921</v>
      </c>
    </row>
    <row r="198" spans="1:10">
      <c r="A198" t="s">
        <v>3922</v>
      </c>
      <c r="B198" t="s">
        <v>3922</v>
      </c>
      <c r="D198" t="s">
        <v>3922</v>
      </c>
      <c r="E198" t="s">
        <v>3922</v>
      </c>
      <c r="F198" t="s">
        <v>3922</v>
      </c>
      <c r="G198" t="s">
        <v>3922</v>
      </c>
      <c r="H198" t="s">
        <v>3922</v>
      </c>
      <c r="J198" t="s">
        <v>3923</v>
      </c>
    </row>
    <row r="199" spans="1:10">
      <c r="A199" t="s">
        <v>3924</v>
      </c>
      <c r="B199" t="s">
        <v>3924</v>
      </c>
      <c r="D199" t="s">
        <v>3924</v>
      </c>
      <c r="E199" t="s">
        <v>3924</v>
      </c>
      <c r="F199" t="s">
        <v>3924</v>
      </c>
      <c r="G199" t="s">
        <v>3924</v>
      </c>
      <c r="H199" t="s">
        <v>3924</v>
      </c>
      <c r="J199" t="s">
        <v>3925</v>
      </c>
    </row>
    <row r="200" spans="1:10">
      <c r="A200" t="s">
        <v>3926</v>
      </c>
      <c r="B200" t="s">
        <v>3926</v>
      </c>
      <c r="D200" t="s">
        <v>3926</v>
      </c>
      <c r="E200" t="s">
        <v>3926</v>
      </c>
      <c r="F200" t="s">
        <v>3926</v>
      </c>
      <c r="G200" t="s">
        <v>3926</v>
      </c>
      <c r="H200" t="s">
        <v>3926</v>
      </c>
      <c r="J200" t="s">
        <v>3927</v>
      </c>
    </row>
    <row r="201" spans="1:10">
      <c r="A201" t="s">
        <v>3154</v>
      </c>
      <c r="B201" t="s">
        <v>3242</v>
      </c>
    </row>
    <row r="202" spans="1:10">
      <c r="A202" t="s">
        <v>3159</v>
      </c>
      <c r="B202" t="s">
        <v>3262</v>
      </c>
    </row>
    <row r="203" spans="1:10">
      <c r="A203" t="s">
        <v>3163</v>
      </c>
      <c r="B203" t="s">
        <v>580</v>
      </c>
    </row>
    <row r="204" spans="1:10">
      <c r="A204" t="s">
        <v>3166</v>
      </c>
      <c r="B204" t="s">
        <v>582</v>
      </c>
    </row>
    <row r="205" spans="1:10">
      <c r="A205" t="s">
        <v>3169</v>
      </c>
      <c r="B205" t="s">
        <v>584</v>
      </c>
    </row>
    <row r="206" spans="1:10">
      <c r="A206" t="s">
        <v>3171</v>
      </c>
      <c r="B206" t="s">
        <v>586</v>
      </c>
    </row>
    <row r="207" spans="1:10">
      <c r="A207" t="s">
        <v>3172</v>
      </c>
      <c r="B207" t="s">
        <v>587</v>
      </c>
    </row>
    <row r="208" spans="1:10">
      <c r="A208" t="s">
        <v>3174</v>
      </c>
      <c r="B208" t="s">
        <v>589</v>
      </c>
    </row>
    <row r="209" spans="1:10">
      <c r="A209" t="s">
        <v>3176</v>
      </c>
      <c r="B209" t="s">
        <v>590</v>
      </c>
    </row>
    <row r="210" spans="1:10">
      <c r="A210" t="s">
        <v>3182</v>
      </c>
      <c r="B210" t="s">
        <v>591</v>
      </c>
    </row>
    <row r="211" spans="1:10">
      <c r="A211" t="s">
        <v>3183</v>
      </c>
      <c r="B211" t="s">
        <v>599</v>
      </c>
    </row>
    <row r="212" spans="1:10">
      <c r="A212" t="s">
        <v>3185</v>
      </c>
      <c r="B212" t="s">
        <v>604</v>
      </c>
    </row>
    <row r="213" spans="1:10">
      <c r="A213" t="s">
        <v>3186</v>
      </c>
      <c r="B213" t="s">
        <v>605</v>
      </c>
    </row>
    <row r="214" spans="1:10">
      <c r="A214" t="s">
        <v>3189</v>
      </c>
      <c r="B214" t="s">
        <v>607</v>
      </c>
    </row>
    <row r="215" spans="1:10">
      <c r="A215" t="s">
        <v>557</v>
      </c>
      <c r="B215" t="s">
        <v>557</v>
      </c>
      <c r="F215" t="s">
        <v>557</v>
      </c>
      <c r="J215" t="s">
        <v>3261</v>
      </c>
    </row>
    <row r="216" spans="1:10">
      <c r="A216" t="s">
        <v>688</v>
      </c>
      <c r="B216" t="s">
        <v>688</v>
      </c>
      <c r="D216" t="s">
        <v>688</v>
      </c>
      <c r="F216" t="s">
        <v>688</v>
      </c>
      <c r="G216" t="s">
        <v>688</v>
      </c>
      <c r="H216" t="s">
        <v>688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BBDD05D7515E479637B2765AF59F81" ma:contentTypeVersion="6" ma:contentTypeDescription="Ein neues Dokument erstellen." ma:contentTypeScope="" ma:versionID="67e4d04e063b209719c3e316353fc1cc">
  <xsd:schema xmlns:xsd="http://www.w3.org/2001/XMLSchema" xmlns:xs="http://www.w3.org/2001/XMLSchema" xmlns:p="http://schemas.microsoft.com/office/2006/metadata/properties" xmlns:ns2="b5644a34-a422-495c-8738-57447e39c340" xmlns:ns3="f284281d-66a5-4034-9e30-256f266db177" targetNamespace="http://schemas.microsoft.com/office/2006/metadata/properties" ma:root="true" ma:fieldsID="09edf6e77b1074f5a736a620b2730b42" ns2:_="" ns3:_="">
    <xsd:import namespace="b5644a34-a422-495c-8738-57447e39c340"/>
    <xsd:import namespace="f284281d-66a5-4034-9e30-256f266db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44a34-a422-495c-8738-57447e39c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4281d-66a5-4034-9e30-256f266db1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575543-90FF-4D32-A3EB-0D39311202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44a34-a422-495c-8738-57447e39c340"/>
    <ds:schemaRef ds:uri="f284281d-66a5-4034-9e30-256f266db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309C6-423B-492B-9710-76FC9D4422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70CCD81-D5CE-4162-BB0B-2D77485537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new</vt:lpstr>
      <vt:lpstr>rm</vt:lpstr>
      <vt:lpstr>rmh</vt:lpstr>
      <vt:lpstr>iso2</vt:lpstr>
      <vt:lpstr>ieap</vt:lpstr>
      <vt:lpstr>nrg</vt:lpstr>
      <vt:lpstr>iea</vt:lpstr>
      <vt:lpstr>nrgp</vt:lpstr>
      <vt:lpstr>psut_pro</vt:lpstr>
      <vt:lpstr>irp_mat</vt:lpstr>
      <vt:lpstr>irp_intermediate</vt:lpstr>
      <vt:lpstr>cpa</vt:lpstr>
      <vt:lpstr>iea_pro</vt:lpstr>
      <vt:lpstr>psut_ind_bridge</vt:lpstr>
      <vt:lpstr>Tabelle1</vt:lpstr>
      <vt:lpstr>rme_nrg</vt:lpstr>
      <vt:lpstr>mfa_bunk</vt:lpstr>
      <vt:lpstr>rme</vt:lpstr>
    </vt:vector>
  </TitlesOfParts>
  <Company>IFEU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Birte Ewers</dc:creator>
  <dc:description/>
  <cp:lastModifiedBy>Nabodita Anam</cp:lastModifiedBy>
  <cp:revision>1</cp:revision>
  <dcterms:created xsi:type="dcterms:W3CDTF">2021-03-03T08:34:10Z</dcterms:created>
  <dcterms:modified xsi:type="dcterms:W3CDTF">2026-08-05T19:50:52Z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0x01010056BBDD05D7515E479637B2765AF59F81</vt:lpwstr>
  </property>
</Properties>
</file>